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ustomer Support" sheetId="2" state="visible" r:id="rId4"/>
    <sheet name="VA &amp; Admin" sheetId="3" state="visible" r:id="rId5"/>
    <sheet name="Sales &amp; Marketing" sheetId="4" state="visible" r:id="rId6"/>
    <sheet name="Creative &amp; Content" sheetId="5" state="visible" r:id="rId7"/>
    <sheet name="Tech &amp; Operations" sheetId="6" state="visible" r:id="rId8"/>
    <sheet name="micro1 Referral" sheetId="7" state="visible" r:id="rId9"/>
  </sheets>
  <definedNames>
    <definedName function="false" hidden="false" localSheetId="4" name="_xlnm.Print_Area" vbProcedure="false">'Creative &amp; Content'!$A$1:$L$6</definedName>
    <definedName function="false" hidden="true" localSheetId="4" name="_xlnm._FilterDatabase" vbProcedure="false">'Creative &amp; Content'!$A$4:$L$6</definedName>
    <definedName function="false" hidden="false" localSheetId="1" name="_xlnm.Print_Area" vbProcedure="false">'Customer Support'!$A$1:$L$6</definedName>
    <definedName function="false" hidden="true" localSheetId="1" name="_xlnm._FilterDatabase" vbProcedure="false">'Customer Support'!$A$4:$L$6</definedName>
    <definedName function="false" hidden="false" localSheetId="6" name="_xlnm.Print_Area" vbProcedure="false">'micro1 Referral'!$A$1:$H$26</definedName>
    <definedName function="false" hidden="true" localSheetId="6" name="_xlnm._FilterDatabase" vbProcedure="false">'micro1 Referral'!$A$4:$H$26</definedName>
    <definedName function="false" hidden="false" localSheetId="3" name="_xlnm.Print_Area" vbProcedure="false">'Sales &amp; Marketing'!$A$1:$L$10</definedName>
    <definedName function="false" hidden="true" localSheetId="3" name="_xlnm._FilterDatabase" vbProcedure="false">'Sales &amp; Marketing'!$A$4:$L$10</definedName>
    <definedName function="false" hidden="false" localSheetId="5" name="_xlnm.Print_Area" vbProcedure="false">'Tech &amp; Operations'!$A$1:$L$10</definedName>
    <definedName function="false" hidden="true" localSheetId="5" name="_xlnm._FilterDatabase" vbProcedure="false">'Tech &amp; Operations'!$A$4:$L$10</definedName>
    <definedName function="false" hidden="false" localSheetId="2" name="_xlnm.Print_Area" vbProcedure="false">'VA &amp; Admin'!$A$1:$L$6</definedName>
    <definedName function="false" hidden="true" localSheetId="2" name="_xlnm._FilterDatabase" vbProcedure="false">'VA &amp; Admin'!$A$4:$L$6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<sst xmlns="http://schemas.openxmlformats.org/spreadsheetml/2006/main" count="348" uniqueCount="162">
  <si>
    <t xml:space="preserve">ERJ Remote Job Search Sheet — 19 Oct 2026</t>
  </si>
  <si>
    <t xml:space="preserve">Posted 15–19 Oct 2026 (since the 15 Oct sheet) · fully remote · open to people living in Nigeria · no link from any earlier ERJ sheet</t>
  </si>
  <si>
    <t xml:space="preserve">Tab</t>
  </si>
  <si>
    <t xml:space="preserve">Open — Nigeria eligible</t>
  </si>
  <si>
    <t xml:space="preserve">Check before applying</t>
  </si>
  <si>
    <t xml:space="preserve">Total</t>
  </si>
  <si>
    <t xml:space="preserve">Customer Support</t>
  </si>
  <si>
    <t xml:space="preserve">VA &amp; Admin</t>
  </si>
  <si>
    <t xml:space="preserve">Sales &amp; Marketing</t>
  </si>
  <si>
    <t xml:space="preserve">Creative &amp; Content</t>
  </si>
  <si>
    <t xml:space="preserve">Tech &amp; Operations</t>
  </si>
  <si>
    <t xml:space="preserve">micro1 Referral</t>
  </si>
  <si>
    <t xml:space="preserve">Notes</t>
  </si>
  <si>
    <t xml:space="preserve">• Rule used: the posting names Nigeria, Africa, or worldwide/any country. EMEA-only, plain "Remote" and roles with required office visits were left out.</t>
  </si>
  <si>
    <t xml:space="preserve">• Dynamics 365, accounting and finance: searched every board company plus a wider web search. All D365 roles found (NewEra Tech F&amp;O Lead and Developer, Jobgether Business Central Developer, Ludia D365 consultant, German-speaking D365 CRM roles) were US, Europe or German-speaking only, and the accounting roles found (Veta Virtual, Assist World, Kaseya, Ascera) were limited to Latin America/Europe, the Philippines/South Africa or the US. The finance roles open to Nigeria this round are the micro1 Investment Banking Associate and the earlier 20four7VA bookkeeping VA (already shared).</t>
  </si>
  <si>
    <t xml:space="preserve">• micro1 links open each exact job with your referral code built in. 20four7VA roles all have region preference "Any".</t>
  </si>
  <si>
    <t xml:space="preserve">• Also left out: 20four7VA appointment setter that excludes Africa, Spanish/Russian-speaking roles, Caliza Business Development Lead (must live near Lagos), Jobgether Senior Python Developer (quarterly in-person sessions), micro1 AI Product Evaluator (India/Japan/UK only), US-licensed physician, bilingual and broken-pay micro1 roles.</t>
  </si>
  <si>
    <t xml:space="preserve">Customer Support — new remote roles open to Nigeria (19 Oct 2026)</t>
  </si>
  <si>
    <t xml:space="preserve">From company career pages (Ashby, Greenhouse, Lever, Workable) and official teaching platforms. Nothing here appears on any earlier ERJ sheet.</t>
  </si>
  <si>
    <t xml:space="preserve">#</t>
  </si>
  <si>
    <t xml:space="preserve">Who can apply</t>
  </si>
  <si>
    <t xml:space="preserve">Role</t>
  </si>
  <si>
    <t xml:space="preserve">Company</t>
  </si>
  <si>
    <t xml:space="preserve">Status</t>
  </si>
  <si>
    <t xml:space="preserve">Level</t>
  </si>
  <si>
    <t xml:space="preserve">Pay (as listed)</t>
  </si>
  <si>
    <t xml:space="preserve">Key requirements</t>
  </si>
  <si>
    <t xml:space="preserve">ATS</t>
  </si>
  <si>
    <t xml:space="preserve">Posted</t>
  </si>
  <si>
    <t xml:space="preserve">Apply link</t>
  </si>
  <si>
    <t xml:space="preserve">Note</t>
  </si>
  <si>
    <t xml:space="preserve">▸ Worldwide / global</t>
  </si>
  <si>
    <t xml:space="preserve">Any region (REGION PREFERENCES: Any)</t>
  </si>
  <si>
    <t xml:space="preserve">Customer Service &amp; Operations Coordinator (CPT-11370)</t>
  </si>
  <si>
    <t xml:space="preserve">20four7VA</t>
  </si>
  <si>
    <t xml:space="preserve">Mid</t>
  </si>
  <si>
    <t xml:space="preserve">Not stated (competitive rate, paid weekly)</t>
  </si>
  <si>
    <t xml:space="preserve">Customer service experience; admin/back-office support; answering business phone lines; native or near-native English (accent A-B); 40 hrs/wk, Mon-Fri 8am-4pm EST</t>
  </si>
  <si>
    <t xml:space="preserve">Breezy</t>
  </si>
  <si>
    <t xml:space="preserve">15 Oct</t>
  </si>
  <si>
    <t xml:space="preserve">Apply ↗</t>
  </si>
  <si>
    <t xml:space="preserve">Full-time contract hours on US Eastern time</t>
  </si>
  <si>
    <t xml:space="preserve">VA &amp; Admin — new remote roles open to Nigeria (19 Oct 2026)</t>
  </si>
  <si>
    <t xml:space="preserve">Course Platform &amp; Marketing VA (CPT-11596)</t>
  </si>
  <si>
    <t xml:space="preserve">Entry-Mid</t>
  </si>
  <si>
    <t xml:space="preserve">Canva (required); Squarespace, ConvertKit (Kit), Instagram, Facebook and Google Workspace; excellent written and verbal English (accent A-B); 10 hrs/wk, EST</t>
  </si>
  <si>
    <t xml:space="preserve">16 Oct</t>
  </si>
  <si>
    <t xml:space="preserve">Part-time; daily hours TBD</t>
  </si>
  <si>
    <t xml:space="preserve">Sales &amp; Marketing — new remote roles open to Nigeria (19 Oct 2026)</t>
  </si>
  <si>
    <t xml:space="preserve">Digital Marketing &amp; Content Virtual Assistant (CPT-11528)</t>
  </si>
  <si>
    <t xml:space="preserve">Digital marketing and social media management; content creation and short-form video editing; Canva and CapCut; 10 hrs/wk to start, Mon-Fri 2-4pm EST</t>
  </si>
  <si>
    <t xml:space="preserve">Part-time; hours expected to grow</t>
  </si>
  <si>
    <t xml:space="preserve">Worldwide (also lists Poland, Serbia, Georgia, Armenia)</t>
  </si>
  <si>
    <t xml:space="preserve">Lead Marketing Analyst</t>
  </si>
  <si>
    <t xml:space="preserve">Social Discovery Group</t>
  </si>
  <si>
    <t xml:space="preserve">Lead</t>
  </si>
  <si>
    <t xml:space="preserve">Not disclosed (range shared during hiring)</t>
  </si>
  <si>
    <t xml:space="preserve">Strong SQL; advanced Google Sheets (pivot tables); statistics and A/B testing; English B2 or higher</t>
  </si>
  <si>
    <t xml:space="preserve">English only; no Russian requirement on this role</t>
  </si>
  <si>
    <t xml:space="preserve">▸ Nigeria-based remote</t>
  </si>
  <si>
    <t xml:space="preserve">Applicants based in Nigeria (fully remote, remote-first team)</t>
  </si>
  <si>
    <t xml:space="preserve">Head of Growth Marketing</t>
  </si>
  <si>
    <t xml:space="preserve">Jobgether (partner company)</t>
  </si>
  <si>
    <t xml:space="preserve">Head / Lead</t>
  </si>
  <si>
    <t xml:space="preserve">Not stated (equity, $600/yr remote-work allowance, L&amp;D budget)</t>
  </si>
  <si>
    <t xml:space="preserve">6+ yrs growth/performance marketing (gaming, e-commerce or consumer apps); paid UA at scale plus CRM/lifecycle (CAC, ROAS, retention); AppsFlyer/Adjust analytics; 2+ yrs team management preferred</t>
  </si>
  <si>
    <t xml:space="preserve">Lever</t>
  </si>
  <si>
    <t xml:space="preserve">Hiring company is an unnamed digital storefront for in-game currency across Africa and the Middle East; Jobgether shortlists using AI matching</t>
  </si>
  <si>
    <t xml:space="preserve">Nigeria (fully remote)</t>
  </si>
  <si>
    <t xml:space="preserve">Marketing Sales &amp; Client Growth Specialist</t>
  </si>
  <si>
    <t xml:space="preserve">3–5+ yrs</t>
  </si>
  <si>
    <t xml:space="preserve">Hourly, negotiable (paid monthly by wire)</t>
  </si>
  <si>
    <t xml:space="preserve">Agency-side sales/business development for marketing services (SEO, PPC, social); full sales cycle; C1 English</t>
  </si>
  <si>
    <t xml:space="preserve">14–19 Oct</t>
  </si>
  <si>
    <t xml:space="preserve">Creative &amp; Content — new remote roles open to Nigeria (19 Oct 2026)</t>
  </si>
  <si>
    <t xml:space="preserve">Creative Marketing &amp; Shopify Virtual Assistant (CPT-11551)</t>
  </si>
  <si>
    <t xml:space="preserve">Graphic design or digital content experience; Canva (required); Shopify (required); strong written and spoken English; 10 hrs/wk, flexible CST</t>
  </si>
  <si>
    <t xml:space="preserve">Part-time; hours may increase</t>
  </si>
  <si>
    <t xml:space="preserve">Tech &amp; Operations — new remote roles open to Nigeria (19 Oct 2026)</t>
  </si>
  <si>
    <t xml:space="preserve">▸ Region list incl. Nigeria</t>
  </si>
  <si>
    <t xml:space="preserve">Residents of Nigeria, Kenya, Pakistan, Indonesia, Turkey, Vietnam</t>
  </si>
  <si>
    <t xml:space="preserve">Chemical Engineering Task Lead - AI Training &amp; Evaluation</t>
  </si>
  <si>
    <t xml:space="preserve">Gramian Consulting Group</t>
  </si>
  <si>
    <t xml:space="preserve">Expert (PhD)</t>
  </si>
  <si>
    <t xml:space="preserve">Hourly (rate not stated), up to 40 hrs/wk</t>
  </si>
  <si>
    <t xml:space="preserve">PhD mandatory (or postdoc) in Chemical Engineering; Python, Julia, C/C++ or MATLAB; Linux/command line; excellent written English</t>
  </si>
  <si>
    <t xml:space="preserve">Workable</t>
  </si>
  <si>
    <t xml:space="preserve">4-week contractor assignment; AI interview</t>
  </si>
  <si>
    <t xml:space="preserve">Electrical Engineering &amp; Computer Science Task Lead (AI Projects)</t>
  </si>
  <si>
    <t xml:space="preserve">PhD mandatory (or postdoc) in CS/EE/CE; C/C++, Rust, Python, Julia, Fortran, MATLAB or HDLs; advanced Linux; excellent written English</t>
  </si>
  <si>
    <t xml:space="preserve">Mechanical &amp; Aerospace Engineering Task Lead (AI Project)</t>
  </si>
  <si>
    <t xml:space="preserve">PhD mandatory (or postdoc) in Mechanical/Aerospace Engineering; Python, C/C++, Fortran, Julia or MATLAB; Linux/command line</t>
  </si>
  <si>
    <t xml:space="preserve">Nigeria (remote, full-time)</t>
  </si>
  <si>
    <t xml:space="preserve">Ubuntu Package Management - Engineering Manager</t>
  </si>
  <si>
    <t xml:space="preserve">Manager</t>
  </si>
  <si>
    <t xml:space="preserve">Not listed (+ annual bonus)</t>
  </si>
  <si>
    <t xml:space="preserve">Lead engineering teams; Linux distribution / package management; CS or STEM degree</t>
  </si>
  <si>
    <t xml:space="preserve">micro1 — new roles on your referral link (19 Oct 2026)</t>
  </si>
  <si>
    <t xml:space="preserve">Every "Apply ↗" opens that exact micro1 job with your referral code built in, so applications are credited to you. Remote AI-training / expert contracts; country eligibility is confirmed during micro1 application.</t>
  </si>
  <si>
    <t xml:space="preserve">Field</t>
  </si>
  <si>
    <t xml:space="preserve">Pay (per hour, as listed)</t>
  </si>
  <si>
    <t xml:space="preserve">Openings</t>
  </si>
  <si>
    <t xml:space="preserve">Apply via referral</t>
  </si>
  <si>
    <t xml:space="preserve">▸ Finance</t>
  </si>
  <si>
    <t xml:space="preserve">Finance</t>
  </si>
  <si>
    <t xml:space="preserve">Investment Banking Associate</t>
  </si>
  <si>
    <t xml:space="preserve">$120–150/hr</t>
  </si>
  <si>
    <t xml:space="preserve">8</t>
  </si>
  <si>
    <t xml:space="preserve">17 Oct</t>
  </si>
  <si>
    <t xml:space="preserve">Financial modelling, valuation, deal execution</t>
  </si>
  <si>
    <t xml:space="preserve">▸ AI Training &amp; Admin</t>
  </si>
  <si>
    <t xml:space="preserve">AI Training &amp; Admin</t>
  </si>
  <si>
    <t xml:space="preserve">Strategic Project Lead, Coding/SWE</t>
  </si>
  <si>
    <t xml:space="preserve">$300k–500k/yr (core team)</t>
  </si>
  <si>
    <t xml:space="preserve">1</t>
  </si>
  <si>
    <t xml:space="preserve">Lead human-data coding projects; team management</t>
  </si>
  <si>
    <t xml:space="preserve">▸ Engineering &amp; CAD</t>
  </si>
  <si>
    <t xml:space="preserve">Engineering &amp; CAD</t>
  </si>
  <si>
    <t xml:space="preserve">CAD Expert</t>
  </si>
  <si>
    <t xml:space="preserve">$80–150/hr</t>
  </si>
  <si>
    <t xml:space="preserve">50</t>
  </si>
  <si>
    <t xml:space="preserve">AutoCAD, Fusion 360 — open worldwide</t>
  </si>
  <si>
    <t xml:space="preserve">Mechanical Engineering Expert (MSc. or PhD)</t>
  </si>
  <si>
    <t xml:space="preserve">$60–120/hr</t>
  </si>
  <si>
    <t xml:space="preserve">100</t>
  </si>
  <si>
    <t xml:space="preserve">Global, fully remote; ~15 hrs/week</t>
  </si>
  <si>
    <t xml:space="preserve">Aerodynamics Expert (MSc. or PhD)</t>
  </si>
  <si>
    <t xml:space="preserve">$80–120/hr</t>
  </si>
  <si>
    <t xml:space="preserve">Global, fully remote; Python</t>
  </si>
  <si>
    <t xml:space="preserve">Hardware Expert (MSc. or PhD)</t>
  </si>
  <si>
    <t xml:space="preserve">10</t>
  </si>
  <si>
    <t xml:space="preserve">RTL / hardware; global</t>
  </si>
  <si>
    <t xml:space="preserve">▸ Software &amp; Data</t>
  </si>
  <si>
    <t xml:space="preserve">Software &amp; Data</t>
  </si>
  <si>
    <t xml:space="preserve">ML Engineer (MSc. or PhD)</t>
  </si>
  <si>
    <t xml:space="preserve">Machine learning; global</t>
  </si>
  <si>
    <t xml:space="preserve">Puzzle Solver (Coding)</t>
  </si>
  <si>
    <t xml:space="preserve">Python, C++; global</t>
  </si>
  <si>
    <t xml:space="preserve">QA Engineer</t>
  </si>
  <si>
    <t xml:space="preserve">$63–120/hr</t>
  </si>
  <si>
    <t xml:space="preserve">120</t>
  </si>
  <si>
    <t xml:space="preserve">Test case design and execution</t>
  </si>
  <si>
    <t xml:space="preserve">App Security Expert</t>
  </si>
  <si>
    <t xml:space="preserve">$40–80/hr</t>
  </si>
  <si>
    <t xml:space="preserve">OSWE, LLM security</t>
  </si>
  <si>
    <t xml:space="preserve">PhysioNet Competitor (Biomedical Signal Processing &amp; ML)</t>
  </si>
  <si>
    <t xml:space="preserve">Global, fully remote</t>
  </si>
  <si>
    <t xml:space="preserve">▸ Health &amp; Science</t>
  </si>
  <si>
    <t xml:space="preserve">Health &amp; Science</t>
  </si>
  <si>
    <t xml:space="preserve">STEM Expert (MSc./PhD)</t>
  </si>
  <si>
    <t xml:space="preserve">Biology; global</t>
  </si>
  <si>
    <t xml:space="preserve">STEM Expert – Chemistry &amp; Computational Chemistry (PhD)</t>
  </si>
  <si>
    <t xml:space="preserve">$45–90/hr</t>
  </si>
  <si>
    <t xml:space="preserve">Computational chemistry, cheminformatics</t>
  </si>
  <si>
    <t xml:space="preserve">STEM Expert – Biology &amp; Bioinformatics (PhD)</t>
  </si>
  <si>
    <t xml:space="preserve">Bioinformatics, quantitative analysis</t>
  </si>
  <si>
    <t xml:space="preserve">Life Sciences Research Scientist (PhD): Wet Lab &amp; Computational Biology</t>
  </si>
  <si>
    <t xml:space="preserve">Molecular simulations, Python</t>
  </si>
  <si>
    <t xml:space="preserve">Clinical, Microbiome &amp; Translational Research Scientist (PhD)</t>
  </si>
  <si>
    <t xml:space="preserve">Computational chemistry, Python</t>
  </si>
  <si>
    <t xml:space="preserve">Computational Chemistry, Structural Biology &amp; Drug Discovery Scientist (PhD)</t>
  </si>
  <si>
    <t xml:space="preserve">Structural bioinformatics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</si>
</sst>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B23A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DE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DE3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23A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1E6B34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E6B34"/>
      </font>
      <fill>
        <patternFill>
          <bgColor rgb="FFDFF3E4"/>
        </patternFill>
      </fill>
    </dxf>
    <dxf>
      <font>
        <name val="Arial"/>
        <charset val="1"/>
        <family val="0"/>
        <color rgb="FF7A5B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4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3E4"/>
      <rgbColor rgb="FFFFFF99"/>
      <rgbColor rgb="FF99CCFF"/>
      <rgbColor rgb="FFFF99CC"/>
      <rgbColor rgb="FFCC99FF"/>
      <rgbColor rgb="FFFDE3D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23A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RJ_Search_Sheet_19_Oct_2026.xlsx" TargetMode="External"/><Relationship Id="rId2" Type="http://schemas.openxmlformats.org/officeDocument/2006/relationships/hyperlink" Target="ERJ_Search_Sheet_19_Oct_2026.xlsx" TargetMode="External"/><Relationship Id="rId3" Type="http://schemas.openxmlformats.org/officeDocument/2006/relationships/hyperlink" Target="ERJ_Search_Sheet_19_Oct_2026.xlsx" TargetMode="External"/><Relationship Id="rId4" Type="http://schemas.openxmlformats.org/officeDocument/2006/relationships/hyperlink" Target="ERJ_Search_Sheet_19_Oct_2026.xlsx" TargetMode="External"/><Relationship Id="rId5" Type="http://schemas.openxmlformats.org/officeDocument/2006/relationships/hyperlink" Target="ERJ_Search_Sheet_19_Oct_2026.xlsx" TargetMode="External"/><Relationship Id="rId6" Type="http://schemas.openxmlformats.org/officeDocument/2006/relationships/hyperlink" Target="ERJ_Search_Sheet_19_Oct_202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6df7cc354082-cpt-11370-customer-service-operations-coordinator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8f74871862c3-cpt-11596-course-platform-marketing-va" TargetMode="External"/><Relationship Id="rId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c24e2865472e-cpt-11528-digital-marketing-content-virtual-assistant" TargetMode="External"/><Relationship Id="rId2" Type="http://schemas.openxmlformats.org/officeDocument/2006/relationships/hyperlink" Target="https://social-discovery-ventures.breezy.hr/p/f7ee1d06faee01-lead-marketing-analyst" TargetMode="External"/><Relationship Id="rId3" Type="http://schemas.openxmlformats.org/officeDocument/2006/relationships/hyperlink" Target="https://jobs.lever.co/jobgether/5109f8ee-e8e8-475f-9e49-1e2715823f2f" TargetMode="External"/><Relationship Id="rId4" Type="http://schemas.openxmlformats.org/officeDocument/2006/relationships/hyperlink" Target="https://jobs.lever.co/jobgether/2818cc59-7818-4679-a2f2-25ece4072272" TargetMode="External"/><Relationship Id="rId5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20four7va.breezy.hr/p/a1e17af78536-cpt-11551-creative-marketing-shopify-virtual-assistant" TargetMode="External"/><Relationship Id="rId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pply.workable.com/gramian/j/400C97A2E8/" TargetMode="External"/><Relationship Id="rId2" Type="http://schemas.openxmlformats.org/officeDocument/2006/relationships/hyperlink" Target="https://apply.workable.com/gramian/j/B397FC2074/" TargetMode="External"/><Relationship Id="rId3" Type="http://schemas.openxmlformats.org/officeDocument/2006/relationships/hyperlink" Target="https://apply.workable.com/gramian/j/8CFFD9B7E4/" TargetMode="External"/><Relationship Id="rId4" Type="http://schemas.openxmlformats.org/officeDocument/2006/relationships/hyperlink" Target="https://jobs.lever.co/jobgether/249f861a-9619-4dbf-80a2-407e0e05df16" TargetMode="External"/><Relationship Id="rId5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jobs.micro1.ai/post/254e0a96-f823-486f-b0f5-cc82dca09427?referralCode=d3605f74-92f0-4f1c-b8e2-4ab757bffc26" TargetMode="External"/><Relationship Id="rId2" Type="http://schemas.openxmlformats.org/officeDocument/2006/relationships/hyperlink" Target="https://jobs.micro1.ai/post/fb77a0c4-ed02-404f-90e4-f62aff0c5271?referralCode=d3605f74-92f0-4f1c-b8e2-4ab757bffc26" TargetMode="External"/><Relationship Id="rId3" Type="http://schemas.openxmlformats.org/officeDocument/2006/relationships/hyperlink" Target="https://jobs.micro1.ai/post/f5e8360f-b6b5-4674-9b5d-798082e223ec?referralCode=d3605f74-92f0-4f1c-b8e2-4ab757bffc26" TargetMode="External"/><Relationship Id="rId4" Type="http://schemas.openxmlformats.org/officeDocument/2006/relationships/hyperlink" Target="https://jobs.micro1.ai/post/44fc17a0-8964-4970-979b-dd975baad36d?referralCode=d3605f74-92f0-4f1c-b8e2-4ab757bffc26" TargetMode="External"/><Relationship Id="rId5" Type="http://schemas.openxmlformats.org/officeDocument/2006/relationships/hyperlink" Target="https://jobs.micro1.ai/post/99ef9e98-e4de-4503-b2e3-980390dab872?referralCode=d3605f74-92f0-4f1c-b8e2-4ab757bffc26" TargetMode="External"/><Relationship Id="rId6" Type="http://schemas.openxmlformats.org/officeDocument/2006/relationships/hyperlink" Target="https://jobs.micro1.ai/post/aa1993c5-2079-40ac-ad0a-09ebfd77960d?referralCode=d3605f74-92f0-4f1c-b8e2-4ab757bffc26" TargetMode="External"/><Relationship Id="rId7" Type="http://schemas.openxmlformats.org/officeDocument/2006/relationships/hyperlink" Target="https://jobs.micro1.ai/post/be0ac227-30ab-4126-bde8-e1e0660c940f?referralCode=d3605f74-92f0-4f1c-b8e2-4ab757bffc26" TargetMode="External"/><Relationship Id="rId8" Type="http://schemas.openxmlformats.org/officeDocument/2006/relationships/hyperlink" Target="https://jobs.micro1.ai/post/1fdcfc88-24fa-4378-9e5a-2ca0ac983f8e?referralCode=d3605f74-92f0-4f1c-b8e2-4ab757bffc26" TargetMode="External"/><Relationship Id="rId9" Type="http://schemas.openxmlformats.org/officeDocument/2006/relationships/hyperlink" Target="https://jobs.micro1.ai/post/9f07b919-4451-402f-ae2d-ccec576dbdc1?referralCode=d3605f74-92f0-4f1c-b8e2-4ab757bffc26" TargetMode="External"/><Relationship Id="rId10" Type="http://schemas.openxmlformats.org/officeDocument/2006/relationships/hyperlink" Target="https://jobs.micro1.ai/post/5ba40f6e-b9a0-4a61-91fd-004516fb27f8?referralCode=d3605f74-92f0-4f1c-b8e2-4ab757bffc26" TargetMode="External"/><Relationship Id="rId11" Type="http://schemas.openxmlformats.org/officeDocument/2006/relationships/hyperlink" Target="https://jobs.micro1.ai/post/ab08cc42-f7e0-4565-b306-11e55beb613f?referralCode=d3605f74-92f0-4f1c-b8e2-4ab757bffc26" TargetMode="External"/><Relationship Id="rId12" Type="http://schemas.openxmlformats.org/officeDocument/2006/relationships/hyperlink" Target="https://jobs.micro1.ai/post/7944c9e5-73a0-45a0-b298-d93be3db08ed?referralCode=d3605f74-92f0-4f1c-b8e2-4ab757bffc26" TargetMode="External"/><Relationship Id="rId13" Type="http://schemas.openxmlformats.org/officeDocument/2006/relationships/hyperlink" Target="https://jobs.micro1.ai/post/0733d72e-0d2a-4420-9f18-f2bb3d889d47?referralCode=d3605f74-92f0-4f1c-b8e2-4ab757bffc26" TargetMode="External"/><Relationship Id="rId14" Type="http://schemas.openxmlformats.org/officeDocument/2006/relationships/hyperlink" Target="https://jobs.micro1.ai/post/d7372be7-b297-494d-9f74-20f297d6792a?referralCode=d3605f74-92f0-4f1c-b8e2-4ab757bffc26" TargetMode="External"/><Relationship Id="rId15" Type="http://schemas.openxmlformats.org/officeDocument/2006/relationships/hyperlink" Target="https://jobs.micro1.ai/post/dfb2a79d-fb7a-4b6f-b867-733289e253c7?referralCode=d3605f74-92f0-4f1c-b8e2-4ab757bffc26" TargetMode="External"/><Relationship Id="rId16" Type="http://schemas.openxmlformats.org/officeDocument/2006/relationships/hyperlink" Target="https://jobs.micro1.ai/post/22ab4fe5-f39d-4d8a-97f7-db7c16ff79e2?referralCode=d3605f74-92f0-4f1c-b8e2-4ab757bffc26" TargetMode="External"/><Relationship Id="rId17" Type="http://schemas.openxmlformats.org/officeDocument/2006/relationships/hyperlink" Target="https://jobs.micro1.ai/post/7365d348-e98a-4999-a018-2415a6a737ca?referralCode=d3605f74-92f0-4f1c-b8e2-4ab757bffc26" TargetMode="External"/><Relationship Id="rId18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COUNTIF('Customer Support'!$E$5:$E$6,"Open*")</f>
        <v>1</v>
      </c>
      <c r="C5" s="5" t="n">
        <f aca="false">COUNTIF('Customer Support'!$E$5:$E$6,"Check*")</f>
        <v>0</v>
      </c>
      <c r="D5" s="5" t="n">
        <f aca="false">B5+C5</f>
        <v>1</v>
      </c>
    </row>
    <row r="6" customFormat="false" ht="15" hidden="false" customHeight="false" outlineLevel="0" collapsed="false">
      <c r="A6" s="4" t="s">
        <v>7</v>
      </c>
      <c r="B6" s="5" t="n">
        <f aca="false">COUNTIF('VA &amp; Admin'!$E$5:$E$6,"Open*")</f>
        <v>1</v>
      </c>
      <c r="C6" s="5" t="n">
        <f aca="false">COUNTIF('VA &amp; Admin'!$E$5:$E$6,"Check*")</f>
        <v>0</v>
      </c>
      <c r="D6" s="5" t="n">
        <f aca="false">B6+C6</f>
        <v>1</v>
      </c>
    </row>
    <row r="7" customFormat="false" ht="15" hidden="false" customHeight="false" outlineLevel="0" collapsed="false">
      <c r="A7" s="4" t="s">
        <v>8</v>
      </c>
      <c r="B7" s="5" t="n">
        <f aca="false">COUNTIF('Sales &amp; Marketing'!$E$5:$E$10,"Open*")</f>
        <v>4</v>
      </c>
      <c r="C7" s="5" t="n">
        <f aca="false">COUNTIF('Sales &amp; Marketing'!$E$5:$E$10,"Check*")</f>
        <v>0</v>
      </c>
      <c r="D7" s="5" t="n">
        <f aca="false">B7+C7</f>
        <v>4</v>
      </c>
    </row>
    <row r="8" customFormat="false" ht="15" hidden="false" customHeight="false" outlineLevel="0" collapsed="false">
      <c r="A8" s="4" t="s">
        <v>9</v>
      </c>
      <c r="B8" s="5" t="n">
        <f aca="false">COUNTIF('Creative &amp; Content'!$E$5:$E$6,"Open*")</f>
        <v>1</v>
      </c>
      <c r="C8" s="5" t="n">
        <f aca="false">COUNTIF('Creative &amp; Content'!$E$5:$E$6,"Check*")</f>
        <v>0</v>
      </c>
      <c r="D8" s="5" t="n">
        <f aca="false">B8+C8</f>
        <v>1</v>
      </c>
    </row>
    <row r="9" customFormat="false" ht="15" hidden="false" customHeight="false" outlineLevel="0" collapsed="false">
      <c r="A9" s="4" t="s">
        <v>10</v>
      </c>
      <c r="B9" s="5" t="n">
        <f aca="false">COUNTIF('Tech &amp; Operations'!$E$5:$E$10,"Open*")</f>
        <v>4</v>
      </c>
      <c r="C9" s="5" t="n">
        <f aca="false">COUNTIF('Tech &amp; Operations'!$E$5:$E$10,"Check*")</f>
        <v>0</v>
      </c>
      <c r="D9" s="5" t="n">
        <f aca="false">B9+C9</f>
        <v>4</v>
      </c>
    </row>
    <row r="10" customFormat="false" ht="15" hidden="false" customHeight="false" outlineLevel="0" collapsed="false">
      <c r="A10" s="4" t="s">
        <v>11</v>
      </c>
      <c r="B10" s="5" t="n">
        <f aca="false">COUNTA('micro1 Referral'!$C$5:$C$26)</f>
        <v>17</v>
      </c>
      <c r="C10" s="5" t="n">
        <v>0</v>
      </c>
      <c r="D10" s="5" t="n">
        <f aca="false">B10+C10</f>
        <v>17</v>
      </c>
    </row>
    <row r="11" customFormat="false" ht="15" hidden="false" customHeight="false" outlineLevel="0" collapsed="false">
      <c r="A11" s="6" t="s">
        <v>5</v>
      </c>
      <c r="B11" s="7" t="n">
        <f aca="false">SUM(B5:B10)</f>
        <v>28</v>
      </c>
      <c r="C11" s="7" t="n">
        <f aca="false">SUM(C5:C10)</f>
        <v>0</v>
      </c>
      <c r="D11" s="7" t="n">
        <f aca="false">SUM(D5:D10)</f>
        <v>28</v>
      </c>
    </row>
    <row r="13" customFormat="false" ht="15" hidden="false" customHeight="false" outlineLevel="0" collapsed="false">
      <c r="A13" s="8" t="s">
        <v>12</v>
      </c>
    </row>
    <row r="14" customFormat="false" ht="60" hidden="false" customHeight="true" outlineLevel="0" collapsed="false">
      <c r="A14" s="9" t="s">
        <v>13</v>
      </c>
      <c r="B14" s="9"/>
      <c r="C14" s="9"/>
      <c r="D14" s="9"/>
    </row>
    <row r="15" customFormat="false" ht="60" hidden="false" customHeight="true" outlineLevel="0" collapsed="false">
      <c r="A15" s="9" t="s">
        <v>14</v>
      </c>
      <c r="B15" s="9"/>
      <c r="C15" s="9"/>
      <c r="D15" s="9"/>
    </row>
    <row r="16" customFormat="false" ht="60" hidden="false" customHeight="true" outlineLevel="0" collapsed="false">
      <c r="A16" s="9" t="s">
        <v>15</v>
      </c>
      <c r="B16" s="9"/>
      <c r="C16" s="9"/>
      <c r="D16" s="9"/>
    </row>
    <row r="17" customFormat="false" ht="60" hidden="false" customHeight="true" outlineLevel="0" collapsed="false">
      <c r="A17" s="9" t="s">
        <v>16</v>
      </c>
      <c r="B17" s="9"/>
      <c r="C17" s="9"/>
      <c r="D17" s="9"/>
    </row>
  </sheetData>
  <mergeCells count="4">
    <mergeCell ref="A14:D14"/>
    <mergeCell ref="A15:D15"/>
    <mergeCell ref="A16:D16"/>
    <mergeCell ref="A17:D17"/>
  </mergeCells>
  <hyperlinks>
    <hyperlink ref="A5" r:id="rId1" location="'Customer%20Support'!A1" display="Customer Support"/>
    <hyperlink ref="A6" r:id="rId2" location="'VA%20&amp;%20Admin'!A1" display="VA &amp; Admin"/>
    <hyperlink ref="A7" r:id="rId3" location="'Sales%20&amp;%20Marketing'!A1" display="Sales &amp; Marketing"/>
    <hyperlink ref="A8" r:id="rId4" location="'Creative%20&amp;%20Content'!A1" display="Creative &amp; Content"/>
    <hyperlink ref="A9" r:id="rId5" location="'Tech%20&amp;%20Operations'!A1" display="Tech &amp; Operations"/>
    <hyperlink ref="A10" r:id="rId6" location="'micro1%20Referral'!A1" display="micro1 Referr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17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46.25" hidden="false" customHeight="false" outlineLevel="0" collapsed="false">
      <c r="A6" s="14" t="n">
        <v>1</v>
      </c>
      <c r="B6" s="15" t="s">
        <v>32</v>
      </c>
      <c r="C6" s="15" t="s">
        <v>33</v>
      </c>
      <c r="D6" s="14" t="s">
        <v>34</v>
      </c>
      <c r="E6" s="14" t="s">
        <v>3</v>
      </c>
      <c r="F6" s="14" t="s">
        <v>35</v>
      </c>
      <c r="G6" s="15" t="s">
        <v>36</v>
      </c>
      <c r="H6" s="15" t="s">
        <v>37</v>
      </c>
      <c r="I6" s="14" t="s">
        <v>38</v>
      </c>
      <c r="J6" s="14" t="s">
        <v>39</v>
      </c>
      <c r="K6" s="16" t="s">
        <v>40</v>
      </c>
      <c r="L6" s="15" t="s">
        <v>41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42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46.25" hidden="false" customHeight="false" outlineLevel="0" collapsed="false">
      <c r="A6" s="14" t="n">
        <v>1</v>
      </c>
      <c r="B6" s="15" t="s">
        <v>32</v>
      </c>
      <c r="C6" s="15" t="s">
        <v>43</v>
      </c>
      <c r="D6" s="14" t="s">
        <v>34</v>
      </c>
      <c r="E6" s="14" t="s">
        <v>3</v>
      </c>
      <c r="F6" s="14" t="s">
        <v>44</v>
      </c>
      <c r="G6" s="15" t="s">
        <v>36</v>
      </c>
      <c r="H6" s="15" t="s">
        <v>45</v>
      </c>
      <c r="I6" s="14" t="s">
        <v>38</v>
      </c>
      <c r="J6" s="14" t="s">
        <v>46</v>
      </c>
      <c r="K6" s="16" t="s">
        <v>40</v>
      </c>
      <c r="L6" s="15" t="s">
        <v>47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48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32</v>
      </c>
      <c r="C6" s="15" t="s">
        <v>49</v>
      </c>
      <c r="D6" s="14" t="s">
        <v>34</v>
      </c>
      <c r="E6" s="14" t="s">
        <v>3</v>
      </c>
      <c r="F6" s="14" t="s">
        <v>44</v>
      </c>
      <c r="G6" s="15" t="s">
        <v>36</v>
      </c>
      <c r="H6" s="15" t="s">
        <v>50</v>
      </c>
      <c r="I6" s="14" t="s">
        <v>38</v>
      </c>
      <c r="J6" s="14" t="s">
        <v>39</v>
      </c>
      <c r="K6" s="16" t="s">
        <v>40</v>
      </c>
      <c r="L6" s="15" t="s">
        <v>51</v>
      </c>
    </row>
    <row r="7" customFormat="false" ht="23.85" hidden="false" customHeight="false" outlineLevel="0" collapsed="false">
      <c r="A7" s="14" t="n">
        <v>2</v>
      </c>
      <c r="B7" s="15" t="s">
        <v>52</v>
      </c>
      <c r="C7" s="15" t="s">
        <v>53</v>
      </c>
      <c r="D7" s="14" t="s">
        <v>54</v>
      </c>
      <c r="E7" s="14" t="s">
        <v>3</v>
      </c>
      <c r="F7" s="14" t="s">
        <v>55</v>
      </c>
      <c r="G7" s="15" t="s">
        <v>56</v>
      </c>
      <c r="H7" s="15" t="s">
        <v>57</v>
      </c>
      <c r="I7" s="14" t="s">
        <v>38</v>
      </c>
      <c r="J7" s="14" t="s">
        <v>39</v>
      </c>
      <c r="K7" s="16" t="s">
        <v>40</v>
      </c>
      <c r="L7" s="15" t="s">
        <v>58</v>
      </c>
    </row>
    <row r="8" customFormat="false" ht="15" hidden="false" customHeight="false" outlineLevel="0" collapsed="false">
      <c r="A8" s="12" t="s">
        <v>59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57.45" hidden="false" customHeight="false" outlineLevel="0" collapsed="false">
      <c r="A9" s="14" t="n">
        <v>3</v>
      </c>
      <c r="B9" s="15" t="s">
        <v>60</v>
      </c>
      <c r="C9" s="15" t="s">
        <v>61</v>
      </c>
      <c r="D9" s="14" t="s">
        <v>62</v>
      </c>
      <c r="E9" s="14" t="s">
        <v>3</v>
      </c>
      <c r="F9" s="14" t="s">
        <v>63</v>
      </c>
      <c r="G9" s="15" t="s">
        <v>64</v>
      </c>
      <c r="H9" s="15" t="s">
        <v>65</v>
      </c>
      <c r="I9" s="14" t="s">
        <v>66</v>
      </c>
      <c r="J9" s="14" t="s">
        <v>46</v>
      </c>
      <c r="K9" s="16" t="s">
        <v>40</v>
      </c>
      <c r="L9" s="15" t="s">
        <v>67</v>
      </c>
    </row>
    <row r="10" customFormat="false" ht="35.05" hidden="false" customHeight="false" outlineLevel="0" collapsed="false">
      <c r="A10" s="14" t="n">
        <v>4</v>
      </c>
      <c r="B10" s="15" t="s">
        <v>68</v>
      </c>
      <c r="C10" s="15" t="s">
        <v>69</v>
      </c>
      <c r="D10" s="14" t="s">
        <v>62</v>
      </c>
      <c r="E10" s="14" t="s">
        <v>3</v>
      </c>
      <c r="F10" s="14" t="s">
        <v>70</v>
      </c>
      <c r="G10" s="15" t="s">
        <v>71</v>
      </c>
      <c r="H10" s="15" t="s">
        <v>72</v>
      </c>
      <c r="I10" s="14" t="s">
        <v>66</v>
      </c>
      <c r="J10" s="14" t="s">
        <v>73</v>
      </c>
      <c r="K10" s="16" t="s">
        <v>40</v>
      </c>
      <c r="L10" s="15"/>
    </row>
  </sheetData>
  <autoFilter ref="A4:L10"/>
  <conditionalFormatting sqref="E5:E10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9" r:id="rId3" display="Apply ↗"/>
    <hyperlink ref="K10" r:id="rId4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74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31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32</v>
      </c>
      <c r="C6" s="15" t="s">
        <v>75</v>
      </c>
      <c r="D6" s="14" t="s">
        <v>34</v>
      </c>
      <c r="E6" s="14" t="s">
        <v>3</v>
      </c>
      <c r="F6" s="14" t="s">
        <v>44</v>
      </c>
      <c r="G6" s="15" t="s">
        <v>36</v>
      </c>
      <c r="H6" s="15" t="s">
        <v>76</v>
      </c>
      <c r="I6" s="14" t="s">
        <v>38</v>
      </c>
      <c r="J6" s="14" t="s">
        <v>46</v>
      </c>
      <c r="K6" s="16" t="s">
        <v>40</v>
      </c>
      <c r="L6" s="15" t="s">
        <v>77</v>
      </c>
    </row>
  </sheetData>
  <autoFilter ref="A4:L6"/>
  <conditionalFormatting sqref="E5:E6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0" t="s">
        <v>78</v>
      </c>
    </row>
    <row r="2" customFormat="false" ht="15" hidden="false" customHeight="false" outlineLevel="0" collapsed="false">
      <c r="A2" s="11" t="s">
        <v>18</v>
      </c>
    </row>
    <row r="4" customFormat="false" ht="25.5" hidden="false" customHeight="true" outlineLevel="0" collapsed="false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</row>
    <row r="5" customFormat="false" ht="15" hidden="false" customHeight="false" outlineLevel="0" collapsed="false">
      <c r="A5" s="12" t="s">
        <v>79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customFormat="false" ht="35.05" hidden="false" customHeight="false" outlineLevel="0" collapsed="false">
      <c r="A6" s="14" t="n">
        <v>1</v>
      </c>
      <c r="B6" s="15" t="s">
        <v>80</v>
      </c>
      <c r="C6" s="15" t="s">
        <v>81</v>
      </c>
      <c r="D6" s="14" t="s">
        <v>82</v>
      </c>
      <c r="E6" s="14" t="s">
        <v>3</v>
      </c>
      <c r="F6" s="14" t="s">
        <v>83</v>
      </c>
      <c r="G6" s="15" t="s">
        <v>84</v>
      </c>
      <c r="H6" s="15" t="s">
        <v>85</v>
      </c>
      <c r="I6" s="14" t="s">
        <v>86</v>
      </c>
      <c r="J6" s="14" t="s">
        <v>39</v>
      </c>
      <c r="K6" s="16" t="s">
        <v>40</v>
      </c>
      <c r="L6" s="15" t="s">
        <v>87</v>
      </c>
    </row>
    <row r="7" customFormat="false" ht="35.05" hidden="false" customHeight="false" outlineLevel="0" collapsed="false">
      <c r="A7" s="14" t="n">
        <v>2</v>
      </c>
      <c r="B7" s="15" t="s">
        <v>80</v>
      </c>
      <c r="C7" s="15" t="s">
        <v>88</v>
      </c>
      <c r="D7" s="14" t="s">
        <v>82</v>
      </c>
      <c r="E7" s="14" t="s">
        <v>3</v>
      </c>
      <c r="F7" s="14" t="s">
        <v>83</v>
      </c>
      <c r="G7" s="15" t="s">
        <v>84</v>
      </c>
      <c r="H7" s="15" t="s">
        <v>89</v>
      </c>
      <c r="I7" s="14" t="s">
        <v>86</v>
      </c>
      <c r="J7" s="14" t="s">
        <v>39</v>
      </c>
      <c r="K7" s="16" t="s">
        <v>40</v>
      </c>
      <c r="L7" s="15" t="s">
        <v>87</v>
      </c>
    </row>
    <row r="8" customFormat="false" ht="35.05" hidden="false" customHeight="false" outlineLevel="0" collapsed="false">
      <c r="A8" s="14" t="n">
        <v>3</v>
      </c>
      <c r="B8" s="15" t="s">
        <v>80</v>
      </c>
      <c r="C8" s="15" t="s">
        <v>90</v>
      </c>
      <c r="D8" s="14" t="s">
        <v>82</v>
      </c>
      <c r="E8" s="14" t="s">
        <v>3</v>
      </c>
      <c r="F8" s="14" t="s">
        <v>83</v>
      </c>
      <c r="G8" s="15" t="s">
        <v>84</v>
      </c>
      <c r="H8" s="15" t="s">
        <v>91</v>
      </c>
      <c r="I8" s="14" t="s">
        <v>86</v>
      </c>
      <c r="J8" s="14" t="s">
        <v>39</v>
      </c>
      <c r="K8" s="16" t="s">
        <v>40</v>
      </c>
      <c r="L8" s="15" t="s">
        <v>87</v>
      </c>
    </row>
    <row r="9" customFormat="false" ht="15" hidden="false" customHeight="false" outlineLevel="0" collapsed="false">
      <c r="A9" s="12" t="s">
        <v>59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customFormat="false" ht="23.85" hidden="false" customHeight="false" outlineLevel="0" collapsed="false">
      <c r="A10" s="14" t="n">
        <v>4</v>
      </c>
      <c r="B10" s="15" t="s">
        <v>92</v>
      </c>
      <c r="C10" s="15" t="s">
        <v>93</v>
      </c>
      <c r="D10" s="14" t="s">
        <v>62</v>
      </c>
      <c r="E10" s="14" t="s">
        <v>3</v>
      </c>
      <c r="F10" s="14" t="s">
        <v>94</v>
      </c>
      <c r="G10" s="15" t="s">
        <v>95</v>
      </c>
      <c r="H10" s="15" t="s">
        <v>96</v>
      </c>
      <c r="I10" s="14" t="s">
        <v>66</v>
      </c>
      <c r="J10" s="14" t="s">
        <v>73</v>
      </c>
      <c r="K10" s="16" t="s">
        <v>40</v>
      </c>
      <c r="L10" s="15"/>
    </row>
  </sheetData>
  <autoFilter ref="A4:L10"/>
  <conditionalFormatting sqref="E5:E10">
    <cfRule type="expression" priority="2" aboveAverage="0" equalAverage="0" bottom="0" percent="0" rank="0" text="" dxfId="9">
      <formula>LEFT($E5,4)="Open"</formula>
    </cfRule>
    <cfRule type="expression" priority="3" aboveAverage="0" equalAverage="0" bottom="0" percent="0" rank="0" text="" dxfId="10">
      <formula>LEFT($E5,5)="Check"</formula>
    </cfRule>
  </conditionalFormatting>
  <hyperlinks>
    <hyperlink ref="K6" r:id="rId1" display="Apply ↗"/>
    <hyperlink ref="K7" r:id="rId2" display="Apply ↗"/>
    <hyperlink ref="K8" r:id="rId3" display="Apply ↗"/>
    <hyperlink ref="K10" r:id="rId4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0" t="s">
        <v>97</v>
      </c>
    </row>
    <row r="2" customFormat="false" ht="15" hidden="false" customHeight="false" outlineLevel="0" collapsed="false">
      <c r="A2" s="11" t="s">
        <v>98</v>
      </c>
    </row>
    <row r="4" customFormat="false" ht="25.5" hidden="false" customHeight="true" outlineLevel="0" collapsed="false">
      <c r="A4" s="3" t="s">
        <v>19</v>
      </c>
      <c r="B4" s="3" t="s">
        <v>99</v>
      </c>
      <c r="C4" s="3" t="s">
        <v>21</v>
      </c>
      <c r="D4" s="3" t="s">
        <v>100</v>
      </c>
      <c r="E4" s="3" t="s">
        <v>101</v>
      </c>
      <c r="F4" s="3" t="s">
        <v>28</v>
      </c>
      <c r="G4" s="3" t="s">
        <v>102</v>
      </c>
      <c r="H4" s="3" t="s">
        <v>30</v>
      </c>
    </row>
    <row r="5" customFormat="false" ht="15" hidden="false" customHeight="false" outlineLevel="0" collapsed="false">
      <c r="A5" s="12" t="s">
        <v>103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n">
        <v>1</v>
      </c>
      <c r="B6" s="14" t="s">
        <v>104</v>
      </c>
      <c r="C6" s="15" t="s">
        <v>105</v>
      </c>
      <c r="D6" s="14" t="s">
        <v>106</v>
      </c>
      <c r="E6" s="14" t="s">
        <v>107</v>
      </c>
      <c r="F6" s="14" t="s">
        <v>108</v>
      </c>
      <c r="G6" s="16" t="s">
        <v>40</v>
      </c>
      <c r="H6" s="15" t="s">
        <v>109</v>
      </c>
    </row>
    <row r="7" customFormat="false" ht="15" hidden="false" customHeight="false" outlineLevel="0" collapsed="false">
      <c r="A7" s="12" t="s">
        <v>110</v>
      </c>
      <c r="B7" s="13"/>
      <c r="C7" s="13"/>
      <c r="D7" s="13"/>
      <c r="E7" s="13"/>
      <c r="F7" s="13"/>
      <c r="G7" s="13"/>
      <c r="H7" s="13"/>
    </row>
    <row r="8" customFormat="false" ht="15" hidden="false" customHeight="false" outlineLevel="0" collapsed="false">
      <c r="A8" s="14" t="n">
        <v>2</v>
      </c>
      <c r="B8" s="14" t="s">
        <v>111</v>
      </c>
      <c r="C8" s="15" t="s">
        <v>112</v>
      </c>
      <c r="D8" s="14" t="s">
        <v>113</v>
      </c>
      <c r="E8" s="14" t="s">
        <v>114</v>
      </c>
      <c r="F8" s="14" t="s">
        <v>108</v>
      </c>
      <c r="G8" s="16" t="s">
        <v>40</v>
      </c>
      <c r="H8" s="15" t="s">
        <v>115</v>
      </c>
    </row>
    <row r="9" customFormat="false" ht="15" hidden="false" customHeight="false" outlineLevel="0" collapsed="false">
      <c r="A9" s="12" t="s">
        <v>116</v>
      </c>
      <c r="B9" s="13"/>
      <c r="C9" s="13"/>
      <c r="D9" s="13"/>
      <c r="E9" s="13"/>
      <c r="F9" s="13"/>
      <c r="G9" s="13"/>
      <c r="H9" s="13"/>
    </row>
    <row r="10" customFormat="false" ht="15" hidden="false" customHeight="false" outlineLevel="0" collapsed="false">
      <c r="A10" s="14" t="n">
        <v>3</v>
      </c>
      <c r="B10" s="14" t="s">
        <v>117</v>
      </c>
      <c r="C10" s="15" t="s">
        <v>118</v>
      </c>
      <c r="D10" s="14" t="s">
        <v>119</v>
      </c>
      <c r="E10" s="14" t="s">
        <v>120</v>
      </c>
      <c r="F10" s="14" t="s">
        <v>46</v>
      </c>
      <c r="G10" s="16" t="s">
        <v>40</v>
      </c>
      <c r="H10" s="15" t="s">
        <v>121</v>
      </c>
    </row>
    <row r="11" customFormat="false" ht="15" hidden="false" customHeight="false" outlineLevel="0" collapsed="false">
      <c r="A11" s="14" t="n">
        <v>4</v>
      </c>
      <c r="B11" s="14" t="s">
        <v>117</v>
      </c>
      <c r="C11" s="15" t="s">
        <v>122</v>
      </c>
      <c r="D11" s="14" t="s">
        <v>123</v>
      </c>
      <c r="E11" s="14" t="s">
        <v>124</v>
      </c>
      <c r="F11" s="14" t="s">
        <v>46</v>
      </c>
      <c r="G11" s="16" t="s">
        <v>40</v>
      </c>
      <c r="H11" s="15" t="s">
        <v>125</v>
      </c>
    </row>
    <row r="12" customFormat="false" ht="15" hidden="false" customHeight="false" outlineLevel="0" collapsed="false">
      <c r="A12" s="14" t="n">
        <v>5</v>
      </c>
      <c r="B12" s="14" t="s">
        <v>117</v>
      </c>
      <c r="C12" s="15" t="s">
        <v>126</v>
      </c>
      <c r="D12" s="14" t="s">
        <v>127</v>
      </c>
      <c r="E12" s="14" t="s">
        <v>124</v>
      </c>
      <c r="F12" s="14" t="s">
        <v>46</v>
      </c>
      <c r="G12" s="16" t="s">
        <v>40</v>
      </c>
      <c r="H12" s="15" t="s">
        <v>128</v>
      </c>
    </row>
    <row r="13" customFormat="false" ht="15" hidden="false" customHeight="false" outlineLevel="0" collapsed="false">
      <c r="A13" s="14" t="n">
        <v>6</v>
      </c>
      <c r="B13" s="14" t="s">
        <v>117</v>
      </c>
      <c r="C13" s="15" t="s">
        <v>129</v>
      </c>
      <c r="D13" s="14" t="s">
        <v>123</v>
      </c>
      <c r="E13" s="14" t="s">
        <v>130</v>
      </c>
      <c r="F13" s="14" t="s">
        <v>46</v>
      </c>
      <c r="G13" s="16" t="s">
        <v>40</v>
      </c>
      <c r="H13" s="15" t="s">
        <v>131</v>
      </c>
    </row>
    <row r="14" customFormat="false" ht="15" hidden="false" customHeight="false" outlineLevel="0" collapsed="false">
      <c r="A14" s="12" t="s">
        <v>132</v>
      </c>
      <c r="B14" s="13"/>
      <c r="C14" s="13"/>
      <c r="D14" s="13"/>
      <c r="E14" s="13"/>
      <c r="F14" s="13"/>
      <c r="G14" s="13"/>
      <c r="H14" s="13"/>
    </row>
    <row r="15" customFormat="false" ht="15" hidden="false" customHeight="false" outlineLevel="0" collapsed="false">
      <c r="A15" s="14" t="n">
        <v>7</v>
      </c>
      <c r="B15" s="14" t="s">
        <v>133</v>
      </c>
      <c r="C15" s="15" t="s">
        <v>134</v>
      </c>
      <c r="D15" s="14" t="s">
        <v>123</v>
      </c>
      <c r="E15" s="14" t="s">
        <v>124</v>
      </c>
      <c r="F15" s="14" t="s">
        <v>46</v>
      </c>
      <c r="G15" s="16" t="s">
        <v>40</v>
      </c>
      <c r="H15" s="15" t="s">
        <v>135</v>
      </c>
    </row>
    <row r="16" customFormat="false" ht="15" hidden="false" customHeight="false" outlineLevel="0" collapsed="false">
      <c r="A16" s="14" t="n">
        <v>8</v>
      </c>
      <c r="B16" s="14" t="s">
        <v>133</v>
      </c>
      <c r="C16" s="15" t="s">
        <v>136</v>
      </c>
      <c r="D16" s="14" t="s">
        <v>123</v>
      </c>
      <c r="E16" s="14" t="s">
        <v>124</v>
      </c>
      <c r="F16" s="14" t="s">
        <v>46</v>
      </c>
      <c r="G16" s="16" t="s">
        <v>40</v>
      </c>
      <c r="H16" s="15" t="s">
        <v>137</v>
      </c>
    </row>
    <row r="17" customFormat="false" ht="15" hidden="false" customHeight="false" outlineLevel="0" collapsed="false">
      <c r="A17" s="14" t="n">
        <v>9</v>
      </c>
      <c r="B17" s="14" t="s">
        <v>133</v>
      </c>
      <c r="C17" s="15" t="s">
        <v>138</v>
      </c>
      <c r="D17" s="14" t="s">
        <v>139</v>
      </c>
      <c r="E17" s="14" t="s">
        <v>140</v>
      </c>
      <c r="F17" s="14" t="s">
        <v>39</v>
      </c>
      <c r="G17" s="16" t="s">
        <v>40</v>
      </c>
      <c r="H17" s="15" t="s">
        <v>141</v>
      </c>
    </row>
    <row r="18" customFormat="false" ht="15" hidden="false" customHeight="false" outlineLevel="0" collapsed="false">
      <c r="A18" s="14" t="n">
        <v>10</v>
      </c>
      <c r="B18" s="14" t="s">
        <v>133</v>
      </c>
      <c r="C18" s="15" t="s">
        <v>142</v>
      </c>
      <c r="D18" s="14" t="s">
        <v>143</v>
      </c>
      <c r="E18" s="14" t="s">
        <v>130</v>
      </c>
      <c r="F18" s="14" t="s">
        <v>39</v>
      </c>
      <c r="G18" s="16" t="s">
        <v>40</v>
      </c>
      <c r="H18" s="15" t="s">
        <v>144</v>
      </c>
    </row>
    <row r="19" customFormat="false" ht="23.85" hidden="false" customHeight="false" outlineLevel="0" collapsed="false">
      <c r="A19" s="14" t="n">
        <v>11</v>
      </c>
      <c r="B19" s="14" t="s">
        <v>133</v>
      </c>
      <c r="C19" s="15" t="s">
        <v>145</v>
      </c>
      <c r="D19" s="14" t="s">
        <v>123</v>
      </c>
      <c r="E19" s="14" t="s">
        <v>120</v>
      </c>
      <c r="F19" s="14" t="s">
        <v>46</v>
      </c>
      <c r="G19" s="16" t="s">
        <v>40</v>
      </c>
      <c r="H19" s="15" t="s">
        <v>146</v>
      </c>
    </row>
    <row r="20" customFormat="false" ht="15" hidden="false" customHeight="false" outlineLevel="0" collapsed="false">
      <c r="A20" s="12" t="s">
        <v>147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A21" s="14" t="n">
        <v>12</v>
      </c>
      <c r="B21" s="14" t="s">
        <v>148</v>
      </c>
      <c r="C21" s="15" t="s">
        <v>149</v>
      </c>
      <c r="D21" s="14" t="s">
        <v>123</v>
      </c>
      <c r="E21" s="14" t="s">
        <v>130</v>
      </c>
      <c r="F21" s="14" t="s">
        <v>46</v>
      </c>
      <c r="G21" s="16" t="s">
        <v>40</v>
      </c>
      <c r="H21" s="15" t="s">
        <v>150</v>
      </c>
    </row>
    <row r="22" customFormat="false" ht="23.85" hidden="false" customHeight="false" outlineLevel="0" collapsed="false">
      <c r="A22" s="14" t="n">
        <v>13</v>
      </c>
      <c r="B22" s="14" t="s">
        <v>148</v>
      </c>
      <c r="C22" s="15" t="s">
        <v>151</v>
      </c>
      <c r="D22" s="14" t="s">
        <v>152</v>
      </c>
      <c r="E22" s="14" t="s">
        <v>120</v>
      </c>
      <c r="F22" s="14" t="s">
        <v>46</v>
      </c>
      <c r="G22" s="16" t="s">
        <v>40</v>
      </c>
      <c r="H22" s="15" t="s">
        <v>153</v>
      </c>
    </row>
    <row r="23" customFormat="false" ht="15" hidden="false" customHeight="false" outlineLevel="0" collapsed="false">
      <c r="A23" s="14" t="n">
        <v>14</v>
      </c>
      <c r="B23" s="14" t="s">
        <v>148</v>
      </c>
      <c r="C23" s="15" t="s">
        <v>154</v>
      </c>
      <c r="D23" s="14" t="s">
        <v>152</v>
      </c>
      <c r="E23" s="14" t="s">
        <v>120</v>
      </c>
      <c r="F23" s="14" t="s">
        <v>46</v>
      </c>
      <c r="G23" s="16" t="s">
        <v>40</v>
      </c>
      <c r="H23" s="15" t="s">
        <v>155</v>
      </c>
    </row>
    <row r="24" customFormat="false" ht="23.85" hidden="false" customHeight="false" outlineLevel="0" collapsed="false">
      <c r="A24" s="14" t="n">
        <v>15</v>
      </c>
      <c r="B24" s="14" t="s">
        <v>148</v>
      </c>
      <c r="C24" s="15" t="s">
        <v>156</v>
      </c>
      <c r="D24" s="14" t="s">
        <v>152</v>
      </c>
      <c r="E24" s="14" t="s">
        <v>120</v>
      </c>
      <c r="F24" s="14" t="s">
        <v>39</v>
      </c>
      <c r="G24" s="16" t="s">
        <v>40</v>
      </c>
      <c r="H24" s="15" t="s">
        <v>157</v>
      </c>
    </row>
    <row r="25" customFormat="false" ht="23.85" hidden="false" customHeight="false" outlineLevel="0" collapsed="false">
      <c r="A25" s="14" t="n">
        <v>16</v>
      </c>
      <c r="B25" s="14" t="s">
        <v>148</v>
      </c>
      <c r="C25" s="15" t="s">
        <v>158</v>
      </c>
      <c r="D25" s="14" t="s">
        <v>152</v>
      </c>
      <c r="E25" s="14" t="s">
        <v>120</v>
      </c>
      <c r="F25" s="14" t="s">
        <v>39</v>
      </c>
      <c r="G25" s="16" t="s">
        <v>40</v>
      </c>
      <c r="H25" s="15" t="s">
        <v>159</v>
      </c>
    </row>
    <row r="26" customFormat="false" ht="23.85" hidden="false" customHeight="false" outlineLevel="0" collapsed="false">
      <c r="A26" s="14" t="n">
        <v>17</v>
      </c>
      <c r="B26" s="14" t="s">
        <v>148</v>
      </c>
      <c r="C26" s="15" t="s">
        <v>160</v>
      </c>
      <c r="D26" s="14" t="s">
        <v>152</v>
      </c>
      <c r="E26" s="14" t="s">
        <v>120</v>
      </c>
      <c r="F26" s="14" t="s">
        <v>39</v>
      </c>
      <c r="G26" s="16" t="s">
        <v>40</v>
      </c>
      <c r="H26" s="15" t="s">
        <v>161</v>
      </c>
    </row>
  </sheetData>
  <autoFilter ref="A4:H26"/>
  <hyperlinks>
    <hyperlink ref="G6" r:id="rId1" display="Apply ↗"/>
    <hyperlink ref="G8" r:id="rId2" display="Apply ↗"/>
    <hyperlink ref="G10" r:id="rId3" display="Apply ↗"/>
    <hyperlink ref="G11" r:id="rId4" display="Apply ↗"/>
    <hyperlink ref="G12" r:id="rId5" display="Apply ↗"/>
    <hyperlink ref="G13" r:id="rId6" display="Apply ↗"/>
    <hyperlink ref="G15" r:id="rId7" display="Apply ↗"/>
    <hyperlink ref="G16" r:id="rId8" display="Apply ↗"/>
    <hyperlink ref="G17" r:id="rId9" display="Apply ↗"/>
    <hyperlink ref="G18" r:id="rId10" display="Apply ↗"/>
    <hyperlink ref="G19" r:id="rId11" display="Apply ↗"/>
    <hyperlink ref="G21" r:id="rId12" display="Apply ↗"/>
    <hyperlink ref="G22" r:id="rId13" display="Apply ↗"/>
    <hyperlink ref="G23" r:id="rId14" display="Apply ↗"/>
    <hyperlink ref="G24" r:id="rId15" display="Apply ↗"/>
    <hyperlink ref="G25" r:id="rId16" display="Apply ↗"/>
    <hyperlink ref="G26" r:id="rId17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2026-10-19T05:59:20Z</dcterms:created>
  <dc:creator>openpyxl</dc:creator>
  <dc:description/>
  <dc:language>en-US</dc:language>
  <cp:lastModifiedBy/>
  <dcterms:modified xsi:type="dcterms:W3CDTF">2026-10-19T05:59:20Z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