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 Support" sheetId="2" state="visible" r:id="rId4"/>
    <sheet name="VA &amp; Admin" sheetId="3" state="visible" r:id="rId5"/>
    <sheet name="HR &amp; Legal" sheetId="4" state="visible" r:id="rId6"/>
    <sheet name="Finance &amp; Accounting" sheetId="5" state="visible" r:id="rId7"/>
    <sheet name="Sales" sheetId="6" state="visible" r:id="rId8"/>
    <sheet name="Marketing &amp; Creative" sheetId="7" state="visible" r:id="rId9"/>
    <sheet name="Tech &amp; Operations" sheetId="8" state="visible" r:id="rId10"/>
    <sheet name="micro1 Referral" sheetId="9" state="visible" r:id="rId11"/>
  </sheets>
  <definedNames>
    <definedName function="false" hidden="false" localSheetId="1" name="_xlnm.Print_Area" vbProcedure="false">'Customer Support'!$A$1:$L$6</definedName>
    <definedName function="false" hidden="true" localSheetId="1" name="_xlnm._FilterDatabase" vbProcedure="false">'Customer Support'!$A$4:$L$6</definedName>
    <definedName function="false" hidden="false" localSheetId="4" name="_xlnm.Print_Area" vbProcedure="false">'Finance &amp; Accounting'!$A$1:$L$6</definedName>
    <definedName function="false" hidden="true" localSheetId="4" name="_xlnm._FilterDatabase" vbProcedure="false">'Finance &amp; Accounting'!$A$4:$L$6</definedName>
    <definedName function="false" hidden="false" localSheetId="3" name="_xlnm.Print_Area" vbProcedure="false">'HR &amp; Legal'!$A$1:$L$6</definedName>
    <definedName function="false" hidden="true" localSheetId="3" name="_xlnm._FilterDatabase" vbProcedure="false">'HR &amp; Legal'!$A$4:$L$6</definedName>
    <definedName function="false" hidden="false" localSheetId="6" name="_xlnm.Print_Area" vbProcedure="false">'Marketing &amp; Creative'!$A$1:$L$13</definedName>
    <definedName function="false" hidden="true" localSheetId="6" name="_xlnm._FilterDatabase" vbProcedure="false">'Marketing &amp; Creative'!$A$4:$L$13</definedName>
    <definedName function="false" hidden="true" localSheetId="8" name="_xlnm._FilterDatabase" vbProcedure="false">'micro1 Referral'!$A$4:$H$19</definedName>
    <definedName function="false" hidden="false" localSheetId="5" name="_xlnm.Print_Area" vbProcedure="false">Sales!$A$1:$L$6</definedName>
    <definedName function="false" hidden="true" localSheetId="5" name="_xlnm._FilterDatabase" vbProcedure="false">Sales!$A$4:$L$6</definedName>
    <definedName function="false" hidden="false" localSheetId="7" name="_xlnm.Print_Area" vbProcedure="false">'Tech &amp; Operations'!$A$1:$L$18</definedName>
    <definedName function="false" hidden="true" localSheetId="7" name="_xlnm._FilterDatabase" vbProcedure="false">'Tech &amp; Operations'!$A$4:$L$18</definedName>
    <definedName function="false" hidden="false" localSheetId="2" name="_xlnm.Print_Area" vbProcedure="false">'VA &amp; Admin'!$A$1:$L$10</definedName>
    <definedName function="false" hidden="true" localSheetId="2" name="_xlnm._FilterDatabase" vbProcedure="false">'VA &amp; Admin'!$A$4:$L$10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<sst xmlns="http://schemas.openxmlformats.org/spreadsheetml/2006/main" count="482" uniqueCount="198">
  <si>
    <t xml:space="preserve">ERJ Remote Job Search Sheet — 26 Oct 2026</t>
  </si>
  <si>
    <t xml:space="preserve">Roles posted or first appearing from 23 Oct (including those that showed up after the 23 Oct sheet was made) to 26 Oct · fully remote · open to Nigeria · no repeated links</t>
  </si>
  <si>
    <t xml:space="preserve">Tab</t>
  </si>
  <si>
    <t xml:space="preserve">Open — Nigeria eligible</t>
  </si>
  <si>
    <t xml:space="preserve">Check before applying</t>
  </si>
  <si>
    <t xml:space="preserve">Total</t>
  </si>
  <si>
    <t xml:space="preserve">Customer Support</t>
  </si>
  <si>
    <t xml:space="preserve">VA &amp; Admin</t>
  </si>
  <si>
    <t xml:space="preserve">HR &amp; Legal</t>
  </si>
  <si>
    <t xml:space="preserve">Finance &amp; Accounting</t>
  </si>
  <si>
    <t xml:space="preserve">Sales</t>
  </si>
  <si>
    <t xml:space="preserve">Marketing &amp; Creative</t>
  </si>
  <si>
    <t xml:space="preserve">Tech &amp; Operations</t>
  </si>
  <si>
    <t xml:space="preserve">micro1 Referral</t>
  </si>
  <si>
    <t xml:space="preserve">Notes</t>
  </si>
  <si>
    <t xml:space="preserve">• Rule used: the posting names Nigeria, Africa, or worldwide/anywhere. EMEA-only, plain "Remote" and roles with office days were left out.</t>
  </si>
  <si>
    <t xml:space="preserve">• Includes roles posted earlier that only appeared after the 23 Oct sheet was made (mostly Growe Talents, added to the board on 26 Oct, and Hire Overseas / Metabase).</t>
  </si>
  <si>
    <t xml:space="preserve">• Growe Talents roles are in the iGaming / online casino industry.</t>
  </si>
  <si>
    <t xml:space="preserve">• Openhill Global and 10Alytics: no new roles since 23 Oct (all already shared).</t>
  </si>
  <si>
    <t xml:space="preserve">• Left out: micro1 military/defence, intelligence, US-only AI Agent Tester and $7–8/hr staff roles; Growe roles listed Europe-first or Chile-first, and its Finance Specialist (needs 1C software); 20four7VA bilingual (Spanish) role.</t>
  </si>
  <si>
    <t xml:space="preserve">Customer Support — new remote roles open to Nigeria (26 Oct 2026)</t>
  </si>
  <si>
    <t xml:space="preserve">Posted or first appeared 23–26 Oct 2026 · fully remote · open to people in Nigeria · no link from any earlier ERJ sheet.</t>
  </si>
  <si>
    <t xml:space="preserve">#</t>
  </si>
  <si>
    <t xml:space="preserve">Who can apply</t>
  </si>
  <si>
    <t xml:space="preserve">Role</t>
  </si>
  <si>
    <t xml:space="preserve">Company</t>
  </si>
  <si>
    <t xml:space="preserve">Status</t>
  </si>
  <si>
    <t xml:space="preserve">Level</t>
  </si>
  <si>
    <t xml:space="preserve">Pay (as listed)</t>
  </si>
  <si>
    <t xml:space="preserve">Key requirements</t>
  </si>
  <si>
    <t xml:space="preserve">Source</t>
  </si>
  <si>
    <t xml:space="preserve">Posted</t>
  </si>
  <si>
    <t xml:space="preserve">Apply link</t>
  </si>
  <si>
    <t xml:space="preserve">Note</t>
  </si>
  <si>
    <t xml:space="preserve">▸ Worldwide / global</t>
  </si>
  <si>
    <t xml:space="preserve">Anywhere / Anywhere</t>
  </si>
  <si>
    <t xml:space="preserve">VIP Account Manager</t>
  </si>
  <si>
    <t xml:space="preserve">Growe Talents</t>
  </si>
  <si>
    <t xml:space="preserve">Not stated</t>
  </si>
  <si>
    <t xml:space="preserve">Undisclosed</t>
  </si>
  <si>
    <t xml:space="preserve">Previous experience in VIP account management, customer support, sales, or a similar client-facing role; Strong English communication skills - Upper Intermediate level</t>
  </si>
  <si>
    <t xml:space="preserve">Greenhouse</t>
  </si>
  <si>
    <t xml:space="preserve">23 Oct</t>
  </si>
  <si>
    <t xml:space="preserve">Apply ↗</t>
  </si>
  <si>
    <t xml:space="preserve">iGaming / online casino industry</t>
  </si>
  <si>
    <t xml:space="preserve">VA &amp; Admin — new remote roles open to Nigeria (26 Oct 2026)</t>
  </si>
  <si>
    <t xml:space="preserve">Worldwide</t>
  </si>
  <si>
    <t xml:space="preserve">Credit Consultation &amp; Client Engagement Virtual Assistant</t>
  </si>
  <si>
    <t xml:space="preserve">20four7VA</t>
  </si>
  <si>
    <t xml:space="preserve">Experience reading and understanding consumer credit reports strongly preferred; Excellent spoken and written English required</t>
  </si>
  <si>
    <t xml:space="preserve">Breezy</t>
  </si>
  <si>
    <t xml:space="preserve">Customer Success &amp; Sales Operations Administrative Virtual Assistant</t>
  </si>
  <si>
    <t xml:space="preserve">2+ years</t>
  </si>
  <si>
    <t xml:space="preserve">2+ years of administrative, operations, or executive support experience required; Strong Google Sheets and/or Microsoft Excel experience required</t>
  </si>
  <si>
    <t xml:space="preserve">Inbound Customer Service &amp; Dispatch Scheduling Virtual Assistant</t>
  </si>
  <si>
    <t xml:space="preserve">Previous inbound call-handling or customer-service experience required; Excellent spoken English required</t>
  </si>
  <si>
    <t xml:space="preserve">Social Media Content Creator &amp; On-Camera Talent Virtual Assistant</t>
  </si>
  <si>
    <t xml:space="preserve">Previous experience in content creation, social media video production, or a similar role; Experience with creating viral hooks for social media and short-form video content</t>
  </si>
  <si>
    <t xml:space="preserve">Walmart WFS Product Sourcing &amp; E-Commerce Virtual Assistant</t>
  </si>
  <si>
    <t xml:space="preserve">Previous Walmart Marketplace/WFS experience preferred; Walmart product sourcing experience preferred</t>
  </si>
  <si>
    <t xml:space="preserve">HR &amp; Legal — new remote roles open to Nigeria (26 Oct 2026)</t>
  </si>
  <si>
    <t xml:space="preserve">Remote / Global</t>
  </si>
  <si>
    <t xml:space="preserve">Director, Talent Management</t>
  </si>
  <si>
    <t xml:space="preserve">GiveDirectly</t>
  </si>
  <si>
    <t xml:space="preserve">7+ years</t>
  </si>
  <si>
    <t xml:space="preserve">7+ years in talent management, performance, or organizational design roles, including time leading a function or a major part of one; You have designed a performance system, not only administered one</t>
  </si>
  <si>
    <t xml:space="preserve">25 Oct</t>
  </si>
  <si>
    <t xml:space="preserve">Finance &amp; Accounting — new remote roles open to Nigeria (26 Oct 2026)</t>
  </si>
  <si>
    <t xml:space="preserve">▸ Region list incl. Nigeria</t>
  </si>
  <si>
    <t xml:space="preserve">Egypt / Argentina / Ethiopia / South Africa / Nigeria</t>
  </si>
  <si>
    <t xml:space="preserve">Project Finance Coordinator</t>
  </si>
  <si>
    <t xml:space="preserve">Scale Army</t>
  </si>
  <si>
    <t xml:space="preserve">$2K – $2.6K per month</t>
  </si>
  <si>
    <t xml:space="preserve">Strong proficiency in Microsoft Excel and Google Sheets, including maintaining accurate financial trackers, budgets, and reports; Working knowledge of Accounts Receivable processes, including invoicing schedules, payment tracking, and collections</t>
  </si>
  <si>
    <t xml:space="preserve">Ashby</t>
  </si>
  <si>
    <t xml:space="preserve">Sales — new remote roles open to Nigeria (26 Oct 2026)</t>
  </si>
  <si>
    <t xml:space="preserve">Sales Executive</t>
  </si>
  <si>
    <t xml:space="preserve">3+ years</t>
  </si>
  <si>
    <t xml:space="preserve">$2K per month • Offers Commission</t>
  </si>
  <si>
    <t xml:space="preserve">Exceptional spoken English with strong clarity and articulation; Strong listening skills and natural conversational ability</t>
  </si>
  <si>
    <t xml:space="preserve">Marketing &amp; Creative — new remote roles open to Nigeria (26 Oct 2026)</t>
  </si>
  <si>
    <t xml:space="preserve">Anywhere; Europe / Anywhere</t>
  </si>
  <si>
    <t xml:space="preserve">Brand Manager</t>
  </si>
  <si>
    <t xml:space="preserve">2+ years of experience in the iGaming industry; Experience managing an entire casino/sportsbook brand or overseeing brand operations within an online gaming company</t>
  </si>
  <si>
    <t xml:space="preserve">9 Oct</t>
  </si>
  <si>
    <t xml:space="preserve">UI/UX Designer (IGaming)</t>
  </si>
  <si>
    <t xml:space="preserve">3+ years of experience in UX/UI or Product Design, preferably within iGaming, gaming, or other digital product environments; Strong understanding of UX principles, user behavior, and interaction design, ideally within real-money iGaming</t>
  </si>
  <si>
    <t xml:space="preserve">12 Oct</t>
  </si>
  <si>
    <t xml:space="preserve">Influencer Marketing Specialist</t>
  </si>
  <si>
    <t xml:space="preserve">3–4 years</t>
  </si>
  <si>
    <t xml:space="preserve">$1.4K – $2K per month</t>
  </si>
  <si>
    <t xml:space="preserve">Strong relationship-building and negotiation skills with the ability to confidently communicate with creators, influencers; Strong understanding of Instagram influencer marketing and familiarity with the TikTok creator ecosystem</t>
  </si>
  <si>
    <t xml:space="preserve">Media Buyer &amp; Creative Strategist</t>
  </si>
  <si>
    <t xml:space="preserve">$2.3K – $2.5K per month</t>
  </si>
  <si>
    <t xml:space="preserve">Strong understanding of paid acquisition strategies, audience targeting, campaign optimization, and performance reporting; Ability to independently launch, manage, and optimize advertising campaigns across Meta and Google Ads</t>
  </si>
  <si>
    <t xml:space="preserve">Wellness Creative Designer</t>
  </si>
  <si>
    <t xml:space="preserve">$1.5K – $1.7K per month</t>
  </si>
  <si>
    <t xml:space="preserve">3–4 years of professional experience in graphic design, digital design, content creation, or a related creative role; Must have experience in the wellness and/or food industry</t>
  </si>
  <si>
    <t xml:space="preserve">▸ Nigeria-based remote</t>
  </si>
  <si>
    <t xml:space="preserve">Remote — Lagos, Nigeria</t>
  </si>
  <si>
    <t xml:space="preserve">Creative Designer (BBS879)</t>
  </si>
  <si>
    <t xml:space="preserve">Hire Overseas</t>
  </si>
  <si>
    <t xml:space="preserve">Proven design experience with a portfolio showing finished work across multiple formats including paid ad creative, social content; Proficiency in Figma and Adobe Creative Suite including Illustrator, Photoshop, and InDesign</t>
  </si>
  <si>
    <t xml:space="preserve">Workable</t>
  </si>
  <si>
    <t xml:space="preserve">15 Oct</t>
  </si>
  <si>
    <t xml:space="preserve">Tech &amp; Operations — new remote roles open to Nigeria (26 Oct 2026)</t>
  </si>
  <si>
    <t xml:space="preserve">Anywhere in the World</t>
  </si>
  <si>
    <t xml:space="preserve">Lead Product Management</t>
  </si>
  <si>
    <t xml:space="preserve">Carrot</t>
  </si>
  <si>
    <t xml:space="preserve">5+ years</t>
  </si>
  <si>
    <t xml:space="preserve">$168,000-$198,000.</t>
  </si>
  <si>
    <t xml:space="preserve">A track record of owning complex, cross-functional product initiatives from strategy through execution; Strong product sense and the ability to balance user needs, business goals, and technical constraints in your decision-making</t>
  </si>
  <si>
    <t xml:space="preserve">We Work Remotely</t>
  </si>
  <si>
    <t xml:space="preserve">24 Oct</t>
  </si>
  <si>
    <t xml:space="preserve">Affiliate Manager</t>
  </si>
  <si>
    <t xml:space="preserve">1+ year</t>
  </si>
  <si>
    <t xml:space="preserve">1+ year of experience as an Affiliate Manager in the iGaming industry; Understanding of web analytics fundamentals and key traffic performance metrics (ROI, ROMI, eCPA, ARPU)</t>
  </si>
  <si>
    <t xml:space="preserve">1 Oct</t>
  </si>
  <si>
    <t xml:space="preserve">Casino Manager (Sportsbook Experience)</t>
  </si>
  <si>
    <t xml:space="preserve">Experience working in online sportsbook operations or a related sports betting role; Strong understanding of sportsbook mechanics, betting markets, odds, margin, and the sports calendar</t>
  </si>
  <si>
    <t xml:space="preserve">Product Manager (IGaming)</t>
  </si>
  <si>
    <t xml:space="preserve">2+ years of experience in Product or Technical Project Management, including hands-on delivery of software development projects; Proven experience in real-money iGaming, with a strong understanding of casino mechanics and the operator-provider ecosystem</t>
  </si>
  <si>
    <t xml:space="preserve">Product manager</t>
  </si>
  <si>
    <t xml:space="preserve">Have experience working with B2C IGaming products in performance-oriented environments; Demonstrate strong analytical skills and hands-on work with product and growth metrics (retention, conversion, DAU/MAU, LTV, ARPU)</t>
  </si>
  <si>
    <t xml:space="preserve">16 Oct</t>
  </si>
  <si>
    <t xml:space="preserve">Global Remote</t>
  </si>
  <si>
    <t xml:space="preserve">Security Engineer</t>
  </si>
  <si>
    <t xml:space="preserve">Metabase</t>
  </si>
  <si>
    <t xml:space="preserve">A demonstrated track record of finding and exploiting application vulnerabilities through source code analysis and hands-on research; The ability to independently navigate unfamiliar codebases, understand complex architectures, and reason about runtime behavio</t>
  </si>
  <si>
    <t xml:space="preserve">Lever</t>
  </si>
  <si>
    <t xml:space="preserve">14 Oct</t>
  </si>
  <si>
    <t xml:space="preserve">Remote, Global</t>
  </si>
  <si>
    <t xml:space="preserve">Data API Engineer</t>
  </si>
  <si>
    <t xml:space="preserve">Supabase</t>
  </si>
  <si>
    <t xml:space="preserve">Strong Haskell skills with at least 3 years of experience; Experience using the C language</t>
  </si>
  <si>
    <t xml:space="preserve">Software Engineer - Storage</t>
  </si>
  <si>
    <t xml:space="preserve">Prior experience working on developer tools; Solid knowledge of cloud infrastructure (AWS, GCP or Azure) and containerization (Docker, Kubernetes)</t>
  </si>
  <si>
    <t xml:space="preserve">Remote — anywhere in Africa</t>
  </si>
  <si>
    <t xml:space="preserve">Data Quality Analyst</t>
  </si>
  <si>
    <t xml:space="preserve">Imagine Worldwide</t>
  </si>
  <si>
    <t xml:space="preserve">See posting</t>
  </si>
  <si>
    <t xml:space="preserve">Not listed</t>
  </si>
  <si>
    <t xml:space="preserve">Full-time remote; data quality for education programmes; overlap with Africa working hours</t>
  </si>
  <si>
    <t xml:space="preserve">Email &amp; SMS Automation Specialist</t>
  </si>
  <si>
    <t xml:space="preserve">2–4 years</t>
  </si>
  <si>
    <t xml:space="preserve">$2.2K – $2.5K per month</t>
  </si>
  <si>
    <t xml:space="preserve">2–4+ years of experience in email marketing and SMS marketing; Strong hands-on experience with Klaviyo or a comparable email/SMS marketing platform</t>
  </si>
  <si>
    <t xml:space="preserve">Nigeria</t>
  </si>
  <si>
    <t xml:space="preserve">Data Platform Engineer (Mid-level)</t>
  </si>
  <si>
    <t xml:space="preserve">Jobgether partner</t>
  </si>
  <si>
    <t xml:space="preserve">€33,000 to €43,000</t>
  </si>
  <si>
    <t xml:space="preserve">Improve CI/CD pipelines; Develop infrastructure-as-code</t>
  </si>
  <si>
    <t xml:space="preserve">micro1 — new roles on your referral link (26 Oct 2026)</t>
  </si>
  <si>
    <t xml:space="preserve">Every "Apply ↗" opens that exact micro1 job with your referral code built in.</t>
  </si>
  <si>
    <t xml:space="preserve">Field</t>
  </si>
  <si>
    <t xml:space="preserve">Openings</t>
  </si>
  <si>
    <t xml:space="preserve">Apply via referral</t>
  </si>
  <si>
    <t xml:space="preserve">▸ HR &amp; Recruiting</t>
  </si>
  <si>
    <t xml:space="preserve">HR &amp; Recruiting</t>
  </si>
  <si>
    <t xml:space="preserve">HR &amp; People Operations Expert</t>
  </si>
  <si>
    <t xml:space="preserve">$45–90/hr</t>
  </si>
  <si>
    <t xml:space="preserve">20</t>
  </si>
  <si>
    <t xml:space="preserve">Payroll and people-ops work turned into AI tasks</t>
  </si>
  <si>
    <t xml:space="preserve">▸ Finance</t>
  </si>
  <si>
    <t xml:space="preserve">Finance</t>
  </si>
  <si>
    <t xml:space="preserve">Finance &amp; Accounting Expert</t>
  </si>
  <si>
    <t xml:space="preserve">$40–90/hr</t>
  </si>
  <si>
    <t xml:space="preserve">Remote, global; reconciliation and error diagnosis</t>
  </si>
  <si>
    <t xml:space="preserve">Procurement &amp; Vendor Management Expert</t>
  </si>
  <si>
    <t xml:space="preserve">Supplier evaluation and selection</t>
  </si>
  <si>
    <t xml:space="preserve">▸ Legal</t>
  </si>
  <si>
    <t xml:space="preserve">Legal</t>
  </si>
  <si>
    <t xml:space="preserve">Legal &amp; Compliance Expert</t>
  </si>
  <si>
    <t xml:space="preserve">Contract and document review, compliance</t>
  </si>
  <si>
    <t xml:space="preserve">▸ AI Training &amp; Admin</t>
  </si>
  <si>
    <t xml:space="preserve">AI Training &amp; Admin</t>
  </si>
  <si>
    <t xml:space="preserve">Business Operations Expert</t>
  </si>
  <si>
    <t xml:space="preserve">Business operations experience</t>
  </si>
  <si>
    <t xml:space="preserve">Transportation and Warehousing Expert</t>
  </si>
  <si>
    <t xml:space="preserve">$30–70/hr</t>
  </si>
  <si>
    <t xml:space="preserve">30</t>
  </si>
  <si>
    <t xml:space="preserve">Logistics, supply chain</t>
  </si>
  <si>
    <t xml:space="preserve">Sales / Revenue / CS Operations Expert</t>
  </si>
  <si>
    <t xml:space="preserve">$40–85/hr</t>
  </si>
  <si>
    <t xml:space="preserve">10</t>
  </si>
  <si>
    <t xml:space="preserve">CRM ownership, revenue tools</t>
  </si>
  <si>
    <t xml:space="preserve">Revenue Operations Specialist (SaaS)</t>
  </si>
  <si>
    <t xml:space="preserve">$50–100/hr</t>
  </si>
  <si>
    <t xml:space="preserve">40</t>
  </si>
  <si>
    <t xml:space="preserve">CRM data model, policy arbitration</t>
  </si>
  <si>
    <t xml:space="preserve">▸ Software &amp; Data</t>
  </si>
  <si>
    <t xml:space="preserve">Software &amp; Data</t>
  </si>
  <si>
    <t xml:space="preserve">Rust Architect / Backend Developer</t>
  </si>
  <si>
    <t xml:space="preserve">Production Rust, backend architecture</t>
  </si>
  <si>
    <t xml:space="preserve">Applied Scientists — Machine Learning (MSc. or PhD)</t>
  </si>
  <si>
    <t xml:space="preserve">$60–120/hr</t>
  </si>
  <si>
    <t xml:space="preserve">100</t>
  </si>
  <si>
    <t xml:space="preserve">Global, fully remote; ~15 hrs/week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</si>
</sst>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B23A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DE3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DE3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23A1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FF3E4"/>
        </patternFill>
      </fill>
    </dxf>
    <dxf>
      <font>
        <name val="Arial"/>
        <charset val="1"/>
        <family val="0"/>
        <color rgb="FF7A5B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FF99"/>
      <rgbColor rgb="FF99CCFF"/>
      <rgbColor rgb="FFFF99CC"/>
      <rgbColor rgb="FFCC99FF"/>
      <rgbColor rgb="FFFDE3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23A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RJ_Search_Sheet_26_Oct_2026.xlsx" TargetMode="External"/><Relationship Id="rId2" Type="http://schemas.openxmlformats.org/officeDocument/2006/relationships/hyperlink" Target="ERJ_Search_Sheet_26_Oct_2026.xlsx" TargetMode="External"/><Relationship Id="rId3" Type="http://schemas.openxmlformats.org/officeDocument/2006/relationships/hyperlink" Target="ERJ_Search_Sheet_26_Oct_2026.xlsx" TargetMode="External"/><Relationship Id="rId4" Type="http://schemas.openxmlformats.org/officeDocument/2006/relationships/hyperlink" Target="ERJ_Search_Sheet_26_Oct_2026.xlsx" TargetMode="External"/><Relationship Id="rId5" Type="http://schemas.openxmlformats.org/officeDocument/2006/relationships/hyperlink" Target="ERJ_Search_Sheet_26_Oct_2026.xlsx" TargetMode="External"/><Relationship Id="rId6" Type="http://schemas.openxmlformats.org/officeDocument/2006/relationships/hyperlink" Target="ERJ_Search_Sheet_26_Oct_2026.xlsx" TargetMode="External"/><Relationship Id="rId7" Type="http://schemas.openxmlformats.org/officeDocument/2006/relationships/hyperlink" Target="ERJ_Search_Sheet_26_Oct_2026.xlsx" TargetMode="External"/><Relationship Id="rId8" Type="http://schemas.openxmlformats.org/officeDocument/2006/relationships/hyperlink" Target="ERJ_Search_Sheet_26_Oct_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job-boards.eu.greenhouse.io/growetalents/jobs/5009739101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79ce5738a0a6-cpt-11613-credit-consultation-client-engagement-virtual-assistant" TargetMode="External"/><Relationship Id="rId2" Type="http://schemas.openxmlformats.org/officeDocument/2006/relationships/hyperlink" Target="https://20four7va.breezy.hr/p/05b7eb8e86f4-cpt-11674-customer-success-sales-operations-administrative-virtual-assistant" TargetMode="External"/><Relationship Id="rId3" Type="http://schemas.openxmlformats.org/officeDocument/2006/relationships/hyperlink" Target="https://20four7va.breezy.hr/p/1e1e9d91f8dd-cpt-11701-inbound-customer-service-dispatch-scheduling-virtual-assistant" TargetMode="External"/><Relationship Id="rId4" Type="http://schemas.openxmlformats.org/officeDocument/2006/relationships/hyperlink" Target="https://20four7va.breezy.hr/p/48af1c351b60-cpt-11704-social-media-content-creator-on-camera-talent-virtual-assistant" TargetMode="External"/><Relationship Id="rId5" Type="http://schemas.openxmlformats.org/officeDocument/2006/relationships/hyperlink" Target="https://20four7va.breezy.hr/p/ead16b0fcee5-cpt-11437-walmart-wfs-product-sourcing-e-commerce-virtual-assistant" TargetMode="External"/><Relationship Id="rId6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ob-boards.greenhouse.io/givedirectly/jobs/4747443005" TargetMode="External"/><Relationship Id="rId2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jobs.ashbyhq.com/Scale%20Army%20Careers/edc12b7d-01ae-41c4-a267-80113d30b0d1" TargetMode="External"/><Relationship Id="rId2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jobs.ashbyhq.com/Scale%20Army%20Careers/d07498e3-36c8-47bd-b63c-a9c021b8b73d" TargetMode="External"/><Relationship Id="rId2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job-boards.eu.greenhouse.io/growetalents/jobs/4982782101" TargetMode="External"/><Relationship Id="rId2" Type="http://schemas.openxmlformats.org/officeDocument/2006/relationships/hyperlink" Target="https://job-boards.eu.greenhouse.io/growetalents/jobs/4971855101" TargetMode="External"/><Relationship Id="rId3" Type="http://schemas.openxmlformats.org/officeDocument/2006/relationships/hyperlink" Target="https://jobs.ashbyhq.com/Scale%20Army%20Careers/c18a6403-54ab-42d3-b403-65a5614578be" TargetMode="External"/><Relationship Id="rId4" Type="http://schemas.openxmlformats.org/officeDocument/2006/relationships/hyperlink" Target="https://jobs.ashbyhq.com/Scale%20Army%20Careers/98396166-ee03-4e2f-a719-f4d8eb4581ce" TargetMode="External"/><Relationship Id="rId5" Type="http://schemas.openxmlformats.org/officeDocument/2006/relationships/hyperlink" Target="https://jobs.ashbyhq.com/Scale%20Army%20Careers/f072a284-c112-40fc-83a5-910ba15bc866" TargetMode="External"/><Relationship Id="rId6" Type="http://schemas.openxmlformats.org/officeDocument/2006/relationships/hyperlink" Target="https://apply.workable.com/j/4315023086" TargetMode="External"/><Relationship Id="rId7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eworkremotely.com/remote-jobs/carrot-lead-product-management" TargetMode="External"/><Relationship Id="rId2" Type="http://schemas.openxmlformats.org/officeDocument/2006/relationships/hyperlink" Target="https://job-boards.eu.greenhouse.io/growetalents/jobs/4965477101" TargetMode="External"/><Relationship Id="rId3" Type="http://schemas.openxmlformats.org/officeDocument/2006/relationships/hyperlink" Target="https://job-boards.eu.greenhouse.io/growetalents/jobs/5010956101" TargetMode="External"/><Relationship Id="rId4" Type="http://schemas.openxmlformats.org/officeDocument/2006/relationships/hyperlink" Target="https://job-boards.eu.greenhouse.io/growetalents/jobs/4970777101" TargetMode="External"/><Relationship Id="rId5" Type="http://schemas.openxmlformats.org/officeDocument/2006/relationships/hyperlink" Target="https://job-boards.eu.greenhouse.io/growetalents/jobs/5005849101" TargetMode="External"/><Relationship Id="rId6" Type="http://schemas.openxmlformats.org/officeDocument/2006/relationships/hyperlink" Target="https://jobs.lever.co/metabase/a0196239-ed3e-4bb0-9760-a52c2fcc0e21" TargetMode="External"/><Relationship Id="rId7" Type="http://schemas.openxmlformats.org/officeDocument/2006/relationships/hyperlink" Target="https://jobs.ashbyhq.com/supabase/950e8ffc-79a5-4626-b1dd-115fcbcddad0" TargetMode="External"/><Relationship Id="rId8" Type="http://schemas.openxmlformats.org/officeDocument/2006/relationships/hyperlink" Target="https://jobs.ashbyhq.com/supabase/9f2ba0b2-6d3b-43ea-990f-5b4bf3930520" TargetMode="External"/><Relationship Id="rId9" Type="http://schemas.openxmlformats.org/officeDocument/2006/relationships/hyperlink" Target="https://job-boards.greenhouse.io/imagineworldwide/jobs/4464914009" TargetMode="External"/><Relationship Id="rId10" Type="http://schemas.openxmlformats.org/officeDocument/2006/relationships/hyperlink" Target="https://jobs.ashbyhq.com/Scale%20Army%20Careers/459aea87-c0ec-4d4f-8f9f-411f853ca90c" TargetMode="External"/><Relationship Id="rId11" Type="http://schemas.openxmlformats.org/officeDocument/2006/relationships/hyperlink" Target="https://jobs.lever.co/jobgether/6a4c56f8-12e6-4a7e-9e7a-4e7ad9dca0bb" TargetMode="External"/><Relationship Id="rId12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jobs.micro1.ai/post/7c577ab9-89b0-4104-b22e-89b1408187d6?referralCode=d3605f74-92f0-4f1c-b8e2-4ab757bffc26" TargetMode="External"/><Relationship Id="rId2" Type="http://schemas.openxmlformats.org/officeDocument/2006/relationships/hyperlink" Target="https://jobs.micro1.ai/post/00ad74df-491a-4327-a38c-5dc7d484ad77?referralCode=d3605f74-92f0-4f1c-b8e2-4ab757bffc26" TargetMode="External"/><Relationship Id="rId3" Type="http://schemas.openxmlformats.org/officeDocument/2006/relationships/hyperlink" Target="https://jobs.micro1.ai/post/ec9f7a0d-9757-4885-8ac9-6e7dd25fd7c7?referralCode=d3605f74-92f0-4f1c-b8e2-4ab757bffc26" TargetMode="External"/><Relationship Id="rId4" Type="http://schemas.openxmlformats.org/officeDocument/2006/relationships/hyperlink" Target="https://jobs.micro1.ai/post/c05c79ea-1396-4eba-8ca2-95573e981860?referralCode=d3605f74-92f0-4f1c-b8e2-4ab757bffc26" TargetMode="External"/><Relationship Id="rId5" Type="http://schemas.openxmlformats.org/officeDocument/2006/relationships/hyperlink" Target="https://jobs.micro1.ai/post/f59ff23d-1cad-470e-8e7c-113f2a3c63e7?referralCode=d3605f74-92f0-4f1c-b8e2-4ab757bffc26" TargetMode="External"/><Relationship Id="rId6" Type="http://schemas.openxmlformats.org/officeDocument/2006/relationships/hyperlink" Target="https://jobs.micro1.ai/post/a31aab52-c227-4f92-9283-2aa5020aaa84?referralCode=d3605f74-92f0-4f1c-b8e2-4ab757bffc26" TargetMode="External"/><Relationship Id="rId7" Type="http://schemas.openxmlformats.org/officeDocument/2006/relationships/hyperlink" Target="https://jobs.micro1.ai/post/f08acc61-44ab-45a4-a6dd-85aaadb7cc24?referralCode=d3605f74-92f0-4f1c-b8e2-4ab757bffc26" TargetMode="External"/><Relationship Id="rId8" Type="http://schemas.openxmlformats.org/officeDocument/2006/relationships/hyperlink" Target="https://jobs.micro1.ai/post/678df5e9-a43e-4dad-adbb-5ee13c42ec48?referralCode=d3605f74-92f0-4f1c-b8e2-4ab757bffc26" TargetMode="External"/><Relationship Id="rId9" Type="http://schemas.openxmlformats.org/officeDocument/2006/relationships/hyperlink" Target="https://jobs.micro1.ai/post/6f83d131-cbf2-4817-a66f-99e05104eb47?referralCode=d3605f74-92f0-4f1c-b8e2-4ab757bffc26" TargetMode="External"/><Relationship Id="rId10" Type="http://schemas.openxmlformats.org/officeDocument/2006/relationships/hyperlink" Target="https://jobs.micro1.ai/post/4307f05a-fbd1-4913-91a2-432c782023fb?referralCode=d3605f74-92f0-4f1c-b8e2-4ab757bffc26" TargetMode="External"/><Relationship Id="rId1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COUNTIF('Customer Support'!$E$5:$E$6,"Open*")</f>
        <v>1</v>
      </c>
      <c r="C5" s="5" t="n">
        <f aca="false">COUNTIF('Customer Support'!$E$5:$E$6,"Check*")</f>
        <v>0</v>
      </c>
      <c r="D5" s="5" t="n">
        <f aca="false">B5+C5</f>
        <v>1</v>
      </c>
    </row>
    <row r="6" customFormat="false" ht="15" hidden="false" customHeight="false" outlineLevel="0" collapsed="false">
      <c r="A6" s="4" t="s">
        <v>7</v>
      </c>
      <c r="B6" s="5" t="n">
        <f aca="false">COUNTIF('VA &amp; Admin'!$E$5:$E$10,"Open*")</f>
        <v>5</v>
      </c>
      <c r="C6" s="5" t="n">
        <f aca="false">COUNTIF('VA &amp; Admin'!$E$5:$E$10,"Check*")</f>
        <v>0</v>
      </c>
      <c r="D6" s="5" t="n">
        <f aca="false">B6+C6</f>
        <v>5</v>
      </c>
    </row>
    <row r="7" customFormat="false" ht="15" hidden="false" customHeight="false" outlineLevel="0" collapsed="false">
      <c r="A7" s="4" t="s">
        <v>8</v>
      </c>
      <c r="B7" s="5" t="n">
        <f aca="false">COUNTIF('HR &amp; Legal'!$E$5:$E$6,"Open*")</f>
        <v>1</v>
      </c>
      <c r="C7" s="5" t="n">
        <f aca="false">COUNTIF('HR &amp; Legal'!$E$5:$E$6,"Check*")</f>
        <v>0</v>
      </c>
      <c r="D7" s="5" t="n">
        <f aca="false">B7+C7</f>
        <v>1</v>
      </c>
    </row>
    <row r="8" customFormat="false" ht="15" hidden="false" customHeight="false" outlineLevel="0" collapsed="false">
      <c r="A8" s="4" t="s">
        <v>9</v>
      </c>
      <c r="B8" s="5" t="n">
        <f aca="false">COUNTIF('Finance &amp; Accounting'!$E$5:$E$6,"Open*")</f>
        <v>1</v>
      </c>
      <c r="C8" s="5" t="n">
        <f aca="false">COUNTIF('Finance &amp; Accounting'!$E$5:$E$6,"Check*")</f>
        <v>0</v>
      </c>
      <c r="D8" s="5" t="n">
        <f aca="false">B8+C8</f>
        <v>1</v>
      </c>
    </row>
    <row r="9" customFormat="false" ht="15" hidden="false" customHeight="false" outlineLevel="0" collapsed="false">
      <c r="A9" s="4" t="s">
        <v>10</v>
      </c>
      <c r="B9" s="5" t="n">
        <f aca="false">COUNTIF(Sales!$E$5:$E$6,"Open*")</f>
        <v>1</v>
      </c>
      <c r="C9" s="5" t="n">
        <f aca="false">COUNTIF(Sales!$E$5:$E$6,"Check*")</f>
        <v>0</v>
      </c>
      <c r="D9" s="5" t="n">
        <f aca="false">B9+C9</f>
        <v>1</v>
      </c>
    </row>
    <row r="10" customFormat="false" ht="15" hidden="false" customHeight="false" outlineLevel="0" collapsed="false">
      <c r="A10" s="4" t="s">
        <v>11</v>
      </c>
      <c r="B10" s="5" t="n">
        <f aca="false">COUNTIF('Marketing &amp; Creative'!$E$5:$E$13,"Open*")</f>
        <v>6</v>
      </c>
      <c r="C10" s="5" t="n">
        <f aca="false">COUNTIF('Marketing &amp; Creative'!$E$5:$E$13,"Check*")</f>
        <v>0</v>
      </c>
      <c r="D10" s="5" t="n">
        <f aca="false">B10+C10</f>
        <v>6</v>
      </c>
    </row>
    <row r="11" customFormat="false" ht="15" hidden="false" customHeight="false" outlineLevel="0" collapsed="false">
      <c r="A11" s="4" t="s">
        <v>12</v>
      </c>
      <c r="B11" s="5" t="n">
        <f aca="false">COUNTIF('Tech &amp; Operations'!$E$5:$E$18,"Open*")</f>
        <v>11</v>
      </c>
      <c r="C11" s="5" t="n">
        <f aca="false">COUNTIF('Tech &amp; Operations'!$E$5:$E$18,"Check*")</f>
        <v>0</v>
      </c>
      <c r="D11" s="5" t="n">
        <f aca="false">B11+C11</f>
        <v>11</v>
      </c>
    </row>
    <row r="12" customFormat="false" ht="15" hidden="false" customHeight="false" outlineLevel="0" collapsed="false">
      <c r="A12" s="4" t="s">
        <v>13</v>
      </c>
      <c r="B12" s="5" t="n">
        <f aca="false">COUNTA('micro1 Referral'!$G$5:$G$19)</f>
        <v>10</v>
      </c>
      <c r="C12" s="0" t="n">
        <v>0</v>
      </c>
      <c r="D12" s="5" t="n">
        <f aca="false">B12+C12</f>
        <v>10</v>
      </c>
    </row>
    <row r="13" customFormat="false" ht="15" hidden="false" customHeight="false" outlineLevel="0" collapsed="false">
      <c r="A13" s="6" t="s">
        <v>5</v>
      </c>
      <c r="B13" s="6" t="n">
        <f aca="false">SUM(B5:B12)</f>
        <v>36</v>
      </c>
      <c r="C13" s="6" t="n">
        <f aca="false">SUM(C5:C12)</f>
        <v>0</v>
      </c>
      <c r="D13" s="6" t="n">
        <f aca="false">SUM(D5:D12)</f>
        <v>36</v>
      </c>
    </row>
    <row r="15" customFormat="false" ht="15" hidden="false" customHeight="false" outlineLevel="0" collapsed="false">
      <c r="A15" s="7" t="s">
        <v>14</v>
      </c>
    </row>
    <row r="16" customFormat="false" ht="43.5" hidden="false" customHeight="true" outlineLevel="0" collapsed="false">
      <c r="A16" s="8" t="s">
        <v>15</v>
      </c>
      <c r="B16" s="8"/>
      <c r="C16" s="8"/>
      <c r="D16" s="8"/>
    </row>
    <row r="17" customFormat="false" ht="43.5" hidden="false" customHeight="true" outlineLevel="0" collapsed="false">
      <c r="A17" s="8" t="s">
        <v>16</v>
      </c>
      <c r="B17" s="8"/>
      <c r="C17" s="8"/>
      <c r="D17" s="8"/>
    </row>
    <row r="18" customFormat="false" ht="43.5" hidden="false" customHeight="true" outlineLevel="0" collapsed="false">
      <c r="A18" s="8" t="s">
        <v>17</v>
      </c>
      <c r="B18" s="8"/>
      <c r="C18" s="8"/>
      <c r="D18" s="8"/>
    </row>
    <row r="19" customFormat="false" ht="43.5" hidden="false" customHeight="true" outlineLevel="0" collapsed="false">
      <c r="A19" s="8" t="s">
        <v>18</v>
      </c>
      <c r="B19" s="8"/>
      <c r="C19" s="8"/>
      <c r="D19" s="8"/>
    </row>
    <row r="20" customFormat="false" ht="43.5" hidden="false" customHeight="true" outlineLevel="0" collapsed="false">
      <c r="A20" s="8" t="s">
        <v>19</v>
      </c>
      <c r="B20" s="8"/>
      <c r="C20" s="8"/>
      <c r="D20" s="8"/>
    </row>
  </sheetData>
  <mergeCells count="5">
    <mergeCell ref="A16:D16"/>
    <mergeCell ref="A17:D17"/>
    <mergeCell ref="A18:D18"/>
    <mergeCell ref="A19:D19"/>
    <mergeCell ref="A20:D20"/>
  </mergeCells>
  <hyperlinks>
    <hyperlink ref="A5" r:id="rId1" location="'Customer%20Support'!A1" display="Customer Support"/>
    <hyperlink ref="A6" r:id="rId2" location="'VA%20&amp;%20Admin'!A1" display="VA &amp; Admin"/>
    <hyperlink ref="A7" r:id="rId3" location="'HR%20&amp;%20Legal'!A1" display="HR &amp; Legal"/>
    <hyperlink ref="A8" r:id="rId4" location="'Finance%20&amp;%20Accounting'!A1" display="Finance &amp; Accounting"/>
    <hyperlink ref="A9" r:id="rId5" location="'Sales'!A1" display="Sales"/>
    <hyperlink ref="A10" r:id="rId6" location="'Marketing%20&amp;%20Creative'!A1" display="Marketing &amp; Creative"/>
    <hyperlink ref="A11" r:id="rId7" location="'Tech%20&amp;%20Operations'!A1" display="Tech &amp; Operations"/>
    <hyperlink ref="A12" r:id="rId8" location="'micro1%20Referral'!A1" display="micro1 Refer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20</v>
      </c>
    </row>
    <row r="2" customFormat="false" ht="15" hidden="false" customHeight="false" outlineLevel="0" collapsed="false">
      <c r="A2" s="10" t="s">
        <v>21</v>
      </c>
    </row>
    <row r="4" customFormat="false" ht="25.5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customFormat="false" ht="15" hidden="false" customHeight="false" outlineLevel="0" collapsed="false">
      <c r="A5" s="11" t="s">
        <v>34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46.25" hidden="false" customHeight="false" outlineLevel="0" collapsed="false">
      <c r="A6" s="13" t="n">
        <v>1</v>
      </c>
      <c r="B6" s="14" t="s">
        <v>35</v>
      </c>
      <c r="C6" s="14" t="s">
        <v>36</v>
      </c>
      <c r="D6" s="13" t="s">
        <v>37</v>
      </c>
      <c r="E6" s="13" t="s">
        <v>3</v>
      </c>
      <c r="F6" s="13" t="s">
        <v>38</v>
      </c>
      <c r="G6" s="14" t="s">
        <v>39</v>
      </c>
      <c r="H6" s="14" t="s">
        <v>40</v>
      </c>
      <c r="I6" s="13" t="s">
        <v>41</v>
      </c>
      <c r="J6" s="13" t="s">
        <v>42</v>
      </c>
      <c r="K6" s="15" t="s">
        <v>43</v>
      </c>
      <c r="L6" s="14" t="s">
        <v>44</v>
      </c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45</v>
      </c>
    </row>
    <row r="2" customFormat="false" ht="15" hidden="false" customHeight="false" outlineLevel="0" collapsed="false">
      <c r="A2" s="10" t="s">
        <v>21</v>
      </c>
    </row>
    <row r="4" customFormat="false" ht="25.5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customFormat="false" ht="15" hidden="false" customHeight="false" outlineLevel="0" collapsed="false">
      <c r="A5" s="11" t="s">
        <v>34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35.05" hidden="false" customHeight="false" outlineLevel="0" collapsed="false">
      <c r="A6" s="13" t="n">
        <v>1</v>
      </c>
      <c r="B6" s="14" t="s">
        <v>46</v>
      </c>
      <c r="C6" s="14" t="s">
        <v>47</v>
      </c>
      <c r="D6" s="13" t="s">
        <v>48</v>
      </c>
      <c r="E6" s="13" t="s">
        <v>3</v>
      </c>
      <c r="F6" s="13" t="s">
        <v>38</v>
      </c>
      <c r="G6" s="14" t="s">
        <v>39</v>
      </c>
      <c r="H6" s="14" t="s">
        <v>49</v>
      </c>
      <c r="I6" s="13" t="s">
        <v>50</v>
      </c>
      <c r="J6" s="13" t="s">
        <v>42</v>
      </c>
      <c r="K6" s="15" t="s">
        <v>43</v>
      </c>
      <c r="L6" s="14"/>
    </row>
    <row r="7" customFormat="false" ht="35.05" hidden="false" customHeight="false" outlineLevel="0" collapsed="false">
      <c r="A7" s="13" t="n">
        <v>2</v>
      </c>
      <c r="B7" s="14" t="s">
        <v>46</v>
      </c>
      <c r="C7" s="14" t="s">
        <v>51</v>
      </c>
      <c r="D7" s="13" t="s">
        <v>48</v>
      </c>
      <c r="E7" s="13" t="s">
        <v>3</v>
      </c>
      <c r="F7" s="13" t="s">
        <v>52</v>
      </c>
      <c r="G7" s="14" t="s">
        <v>39</v>
      </c>
      <c r="H7" s="14" t="s">
        <v>53</v>
      </c>
      <c r="I7" s="13" t="s">
        <v>50</v>
      </c>
      <c r="J7" s="13" t="s">
        <v>42</v>
      </c>
      <c r="K7" s="15" t="s">
        <v>43</v>
      </c>
      <c r="L7" s="14"/>
    </row>
    <row r="8" customFormat="false" ht="35.05" hidden="false" customHeight="false" outlineLevel="0" collapsed="false">
      <c r="A8" s="13" t="n">
        <v>3</v>
      </c>
      <c r="B8" s="14" t="s">
        <v>46</v>
      </c>
      <c r="C8" s="14" t="s">
        <v>54</v>
      </c>
      <c r="D8" s="13" t="s">
        <v>48</v>
      </c>
      <c r="E8" s="13" t="s">
        <v>3</v>
      </c>
      <c r="F8" s="13" t="s">
        <v>38</v>
      </c>
      <c r="G8" s="14" t="s">
        <v>39</v>
      </c>
      <c r="H8" s="14" t="s">
        <v>55</v>
      </c>
      <c r="I8" s="13" t="s">
        <v>50</v>
      </c>
      <c r="J8" s="13" t="s">
        <v>42</v>
      </c>
      <c r="K8" s="15" t="s">
        <v>43</v>
      </c>
      <c r="L8" s="14"/>
    </row>
    <row r="9" customFormat="false" ht="46.25" hidden="false" customHeight="false" outlineLevel="0" collapsed="false">
      <c r="A9" s="13" t="n">
        <v>4</v>
      </c>
      <c r="B9" s="14" t="s">
        <v>46</v>
      </c>
      <c r="C9" s="14" t="s">
        <v>56</v>
      </c>
      <c r="D9" s="13" t="s">
        <v>48</v>
      </c>
      <c r="E9" s="13" t="s">
        <v>3</v>
      </c>
      <c r="F9" s="13" t="s">
        <v>38</v>
      </c>
      <c r="G9" s="14" t="s">
        <v>39</v>
      </c>
      <c r="H9" s="14" t="s">
        <v>57</v>
      </c>
      <c r="I9" s="13" t="s">
        <v>50</v>
      </c>
      <c r="J9" s="13" t="s">
        <v>42</v>
      </c>
      <c r="K9" s="15" t="s">
        <v>43</v>
      </c>
      <c r="L9" s="14"/>
    </row>
    <row r="10" customFormat="false" ht="35.05" hidden="false" customHeight="false" outlineLevel="0" collapsed="false">
      <c r="A10" s="13" t="n">
        <v>5</v>
      </c>
      <c r="B10" s="14" t="s">
        <v>46</v>
      </c>
      <c r="C10" s="14" t="s">
        <v>58</v>
      </c>
      <c r="D10" s="13" t="s">
        <v>48</v>
      </c>
      <c r="E10" s="13" t="s">
        <v>3</v>
      </c>
      <c r="F10" s="13" t="s">
        <v>38</v>
      </c>
      <c r="G10" s="14" t="s">
        <v>39</v>
      </c>
      <c r="H10" s="14" t="s">
        <v>59</v>
      </c>
      <c r="I10" s="13" t="s">
        <v>50</v>
      </c>
      <c r="J10" s="13" t="s">
        <v>42</v>
      </c>
      <c r="K10" s="15" t="s">
        <v>43</v>
      </c>
      <c r="L10" s="14"/>
    </row>
  </sheetData>
  <autoFilter ref="A4:L10"/>
  <conditionalFormatting sqref="E5:E10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9" r:id="rId4" display="Apply ↗"/>
    <hyperlink ref="K10" r:id="rId5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60</v>
      </c>
    </row>
    <row r="2" customFormat="false" ht="15" hidden="false" customHeight="false" outlineLevel="0" collapsed="false">
      <c r="A2" s="10" t="s">
        <v>21</v>
      </c>
    </row>
    <row r="4" customFormat="false" ht="25.5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customFormat="false" ht="15" hidden="false" customHeight="false" outlineLevel="0" collapsed="false">
      <c r="A5" s="11" t="s">
        <v>34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46.25" hidden="false" customHeight="false" outlineLevel="0" collapsed="false">
      <c r="A6" s="13" t="n">
        <v>1</v>
      </c>
      <c r="B6" s="14" t="s">
        <v>61</v>
      </c>
      <c r="C6" s="14" t="s">
        <v>62</v>
      </c>
      <c r="D6" s="13" t="s">
        <v>63</v>
      </c>
      <c r="E6" s="13" t="s">
        <v>3</v>
      </c>
      <c r="F6" s="13" t="s">
        <v>64</v>
      </c>
      <c r="G6" s="14" t="s">
        <v>39</v>
      </c>
      <c r="H6" s="14" t="s">
        <v>65</v>
      </c>
      <c r="I6" s="13" t="s">
        <v>41</v>
      </c>
      <c r="J6" s="13" t="s">
        <v>66</v>
      </c>
      <c r="K6" s="15" t="s">
        <v>43</v>
      </c>
      <c r="L6" s="14"/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67</v>
      </c>
    </row>
    <row r="2" customFormat="false" ht="15" hidden="false" customHeight="false" outlineLevel="0" collapsed="false">
      <c r="A2" s="10" t="s">
        <v>21</v>
      </c>
    </row>
    <row r="4" customFormat="false" ht="25.5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customFormat="false" ht="15" hidden="false" customHeight="false" outlineLevel="0" collapsed="false">
      <c r="A5" s="11" t="s">
        <v>68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57.45" hidden="false" customHeight="false" outlineLevel="0" collapsed="false">
      <c r="A6" s="13" t="n">
        <v>1</v>
      </c>
      <c r="B6" s="14" t="s">
        <v>69</v>
      </c>
      <c r="C6" s="14" t="s">
        <v>70</v>
      </c>
      <c r="D6" s="13" t="s">
        <v>71</v>
      </c>
      <c r="E6" s="13" t="s">
        <v>3</v>
      </c>
      <c r="F6" s="13" t="s">
        <v>52</v>
      </c>
      <c r="G6" s="14" t="s">
        <v>72</v>
      </c>
      <c r="H6" s="14" t="s">
        <v>73</v>
      </c>
      <c r="I6" s="13" t="s">
        <v>74</v>
      </c>
      <c r="J6" s="13" t="s">
        <v>42</v>
      </c>
      <c r="K6" s="15" t="s">
        <v>43</v>
      </c>
      <c r="L6" s="14"/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75</v>
      </c>
    </row>
    <row r="2" customFormat="false" ht="15" hidden="false" customHeight="false" outlineLevel="0" collapsed="false">
      <c r="A2" s="10" t="s">
        <v>21</v>
      </c>
    </row>
    <row r="4" customFormat="false" ht="25.5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customFormat="false" ht="15" hidden="false" customHeight="false" outlineLevel="0" collapsed="false">
      <c r="A5" s="11" t="s">
        <v>68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35.05" hidden="false" customHeight="false" outlineLevel="0" collapsed="false">
      <c r="A6" s="13" t="n">
        <v>1</v>
      </c>
      <c r="B6" s="14" t="s">
        <v>69</v>
      </c>
      <c r="C6" s="14" t="s">
        <v>76</v>
      </c>
      <c r="D6" s="13" t="s">
        <v>71</v>
      </c>
      <c r="E6" s="13" t="s">
        <v>3</v>
      </c>
      <c r="F6" s="13" t="s">
        <v>77</v>
      </c>
      <c r="G6" s="14" t="s">
        <v>78</v>
      </c>
      <c r="H6" s="14" t="s">
        <v>79</v>
      </c>
      <c r="I6" s="13" t="s">
        <v>74</v>
      </c>
      <c r="J6" s="13" t="s">
        <v>42</v>
      </c>
      <c r="K6" s="15" t="s">
        <v>43</v>
      </c>
      <c r="L6" s="14"/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80</v>
      </c>
    </row>
    <row r="2" customFormat="false" ht="15" hidden="false" customHeight="false" outlineLevel="0" collapsed="false">
      <c r="A2" s="10" t="s">
        <v>21</v>
      </c>
    </row>
    <row r="4" customFormat="false" ht="25.5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customFormat="false" ht="15" hidden="false" customHeight="false" outlineLevel="0" collapsed="false">
      <c r="A5" s="11" t="s">
        <v>34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46.25" hidden="false" customHeight="false" outlineLevel="0" collapsed="false">
      <c r="A6" s="13" t="n">
        <v>1</v>
      </c>
      <c r="B6" s="14" t="s">
        <v>81</v>
      </c>
      <c r="C6" s="14" t="s">
        <v>82</v>
      </c>
      <c r="D6" s="13" t="s">
        <v>37</v>
      </c>
      <c r="E6" s="13" t="s">
        <v>3</v>
      </c>
      <c r="F6" s="13" t="s">
        <v>52</v>
      </c>
      <c r="G6" s="14" t="s">
        <v>39</v>
      </c>
      <c r="H6" s="14" t="s">
        <v>83</v>
      </c>
      <c r="I6" s="13" t="s">
        <v>41</v>
      </c>
      <c r="J6" s="13" t="s">
        <v>84</v>
      </c>
      <c r="K6" s="15" t="s">
        <v>43</v>
      </c>
      <c r="L6" s="14" t="s">
        <v>44</v>
      </c>
    </row>
    <row r="7" customFormat="false" ht="57.45" hidden="false" customHeight="false" outlineLevel="0" collapsed="false">
      <c r="A7" s="13" t="n">
        <v>2</v>
      </c>
      <c r="B7" s="14" t="s">
        <v>81</v>
      </c>
      <c r="C7" s="14" t="s">
        <v>85</v>
      </c>
      <c r="D7" s="13" t="s">
        <v>37</v>
      </c>
      <c r="E7" s="13" t="s">
        <v>3</v>
      </c>
      <c r="F7" s="13" t="s">
        <v>77</v>
      </c>
      <c r="G7" s="14" t="s">
        <v>39</v>
      </c>
      <c r="H7" s="14" t="s">
        <v>86</v>
      </c>
      <c r="I7" s="13" t="s">
        <v>41</v>
      </c>
      <c r="J7" s="13" t="s">
        <v>87</v>
      </c>
      <c r="K7" s="15" t="s">
        <v>43</v>
      </c>
      <c r="L7" s="14" t="s">
        <v>44</v>
      </c>
    </row>
    <row r="8" customFormat="false" ht="15" hidden="false" customHeight="false" outlineLevel="0" collapsed="false">
      <c r="A8" s="11" t="s">
        <v>68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57.45" hidden="false" customHeight="false" outlineLevel="0" collapsed="false">
      <c r="A9" s="13" t="n">
        <v>3</v>
      </c>
      <c r="B9" s="14" t="s">
        <v>69</v>
      </c>
      <c r="C9" s="14" t="s">
        <v>88</v>
      </c>
      <c r="D9" s="13" t="s">
        <v>71</v>
      </c>
      <c r="E9" s="13" t="s">
        <v>3</v>
      </c>
      <c r="F9" s="13" t="s">
        <v>89</v>
      </c>
      <c r="G9" s="14" t="s">
        <v>90</v>
      </c>
      <c r="H9" s="14" t="s">
        <v>91</v>
      </c>
      <c r="I9" s="13" t="s">
        <v>74</v>
      </c>
      <c r="J9" s="13" t="s">
        <v>42</v>
      </c>
      <c r="K9" s="15" t="s">
        <v>43</v>
      </c>
      <c r="L9" s="14"/>
    </row>
    <row r="10" customFormat="false" ht="57.45" hidden="false" customHeight="false" outlineLevel="0" collapsed="false">
      <c r="A10" s="13" t="n">
        <v>4</v>
      </c>
      <c r="B10" s="14" t="s">
        <v>69</v>
      </c>
      <c r="C10" s="14" t="s">
        <v>92</v>
      </c>
      <c r="D10" s="13" t="s">
        <v>71</v>
      </c>
      <c r="E10" s="13" t="s">
        <v>3</v>
      </c>
      <c r="F10" s="13" t="s">
        <v>38</v>
      </c>
      <c r="G10" s="14" t="s">
        <v>93</v>
      </c>
      <c r="H10" s="14" t="s">
        <v>94</v>
      </c>
      <c r="I10" s="13" t="s">
        <v>74</v>
      </c>
      <c r="J10" s="13" t="s">
        <v>42</v>
      </c>
      <c r="K10" s="15" t="s">
        <v>43</v>
      </c>
      <c r="L10" s="14"/>
    </row>
    <row r="11" customFormat="false" ht="46.25" hidden="false" customHeight="false" outlineLevel="0" collapsed="false">
      <c r="A11" s="13" t="n">
        <v>5</v>
      </c>
      <c r="B11" s="14" t="s">
        <v>69</v>
      </c>
      <c r="C11" s="14" t="s">
        <v>95</v>
      </c>
      <c r="D11" s="13" t="s">
        <v>71</v>
      </c>
      <c r="E11" s="13" t="s">
        <v>3</v>
      </c>
      <c r="F11" s="13" t="s">
        <v>89</v>
      </c>
      <c r="G11" s="14" t="s">
        <v>96</v>
      </c>
      <c r="H11" s="14" t="s">
        <v>97</v>
      </c>
      <c r="I11" s="13" t="s">
        <v>74</v>
      </c>
      <c r="J11" s="13" t="s">
        <v>42</v>
      </c>
      <c r="K11" s="15" t="s">
        <v>43</v>
      </c>
      <c r="L11" s="14"/>
    </row>
    <row r="12" customFormat="false" ht="15" hidden="false" customHeight="false" outlineLevel="0" collapsed="false">
      <c r="A12" s="11" t="s">
        <v>98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customFormat="false" ht="57.45" hidden="false" customHeight="false" outlineLevel="0" collapsed="false">
      <c r="A13" s="13" t="n">
        <v>6</v>
      </c>
      <c r="B13" s="14" t="s">
        <v>99</v>
      </c>
      <c r="C13" s="14" t="s">
        <v>100</v>
      </c>
      <c r="D13" s="13" t="s">
        <v>101</v>
      </c>
      <c r="E13" s="13" t="s">
        <v>3</v>
      </c>
      <c r="F13" s="13" t="s">
        <v>38</v>
      </c>
      <c r="G13" s="14" t="s">
        <v>39</v>
      </c>
      <c r="H13" s="14" t="s">
        <v>102</v>
      </c>
      <c r="I13" s="13" t="s">
        <v>103</v>
      </c>
      <c r="J13" s="13" t="s">
        <v>104</v>
      </c>
      <c r="K13" s="15" t="s">
        <v>43</v>
      </c>
      <c r="L13" s="14"/>
    </row>
  </sheetData>
  <autoFilter ref="A4:L13"/>
  <conditionalFormatting sqref="E5:E13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9" r:id="rId3" display="Apply ↗"/>
    <hyperlink ref="K10" r:id="rId4" display="Apply ↗"/>
    <hyperlink ref="K11" r:id="rId5" display="Apply ↗"/>
    <hyperlink ref="K13" r:id="rId6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105</v>
      </c>
    </row>
    <row r="2" customFormat="false" ht="15" hidden="false" customHeight="false" outlineLevel="0" collapsed="false">
      <c r="A2" s="10" t="s">
        <v>21</v>
      </c>
    </row>
    <row r="4" customFormat="false" ht="25.5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customFormat="false" ht="15" hidden="false" customHeight="false" outlineLevel="0" collapsed="false">
      <c r="A5" s="11" t="s">
        <v>34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57.45" hidden="false" customHeight="false" outlineLevel="0" collapsed="false">
      <c r="A6" s="13" t="n">
        <v>1</v>
      </c>
      <c r="B6" s="14" t="s">
        <v>106</v>
      </c>
      <c r="C6" s="14" t="s">
        <v>107</v>
      </c>
      <c r="D6" s="13" t="s">
        <v>108</v>
      </c>
      <c r="E6" s="13" t="s">
        <v>3</v>
      </c>
      <c r="F6" s="13" t="s">
        <v>109</v>
      </c>
      <c r="G6" s="14" t="s">
        <v>110</v>
      </c>
      <c r="H6" s="14" t="s">
        <v>111</v>
      </c>
      <c r="I6" s="13" t="s">
        <v>112</v>
      </c>
      <c r="J6" s="13" t="s">
        <v>113</v>
      </c>
      <c r="K6" s="15" t="s">
        <v>43</v>
      </c>
      <c r="L6" s="14"/>
    </row>
    <row r="7" customFormat="false" ht="46.25" hidden="false" customHeight="false" outlineLevel="0" collapsed="false">
      <c r="A7" s="13" t="n">
        <v>2</v>
      </c>
      <c r="B7" s="14" t="s">
        <v>35</v>
      </c>
      <c r="C7" s="14" t="s">
        <v>114</v>
      </c>
      <c r="D7" s="13" t="s">
        <v>37</v>
      </c>
      <c r="E7" s="13" t="s">
        <v>3</v>
      </c>
      <c r="F7" s="13" t="s">
        <v>115</v>
      </c>
      <c r="G7" s="14" t="s">
        <v>39</v>
      </c>
      <c r="H7" s="14" t="s">
        <v>116</v>
      </c>
      <c r="I7" s="13" t="s">
        <v>41</v>
      </c>
      <c r="J7" s="13" t="s">
        <v>117</v>
      </c>
      <c r="K7" s="15" t="s">
        <v>43</v>
      </c>
      <c r="L7" s="14" t="s">
        <v>44</v>
      </c>
    </row>
    <row r="8" customFormat="false" ht="46.25" hidden="false" customHeight="false" outlineLevel="0" collapsed="false">
      <c r="A8" s="13" t="n">
        <v>3</v>
      </c>
      <c r="B8" s="14" t="s">
        <v>35</v>
      </c>
      <c r="C8" s="14" t="s">
        <v>118</v>
      </c>
      <c r="D8" s="13" t="s">
        <v>37</v>
      </c>
      <c r="E8" s="13" t="s">
        <v>3</v>
      </c>
      <c r="F8" s="13" t="s">
        <v>38</v>
      </c>
      <c r="G8" s="14" t="s">
        <v>39</v>
      </c>
      <c r="H8" s="14" t="s">
        <v>119</v>
      </c>
      <c r="I8" s="13" t="s">
        <v>41</v>
      </c>
      <c r="J8" s="13" t="s">
        <v>42</v>
      </c>
      <c r="K8" s="15" t="s">
        <v>43</v>
      </c>
      <c r="L8" s="14" t="s">
        <v>44</v>
      </c>
    </row>
    <row r="9" customFormat="false" ht="68.65" hidden="false" customHeight="false" outlineLevel="0" collapsed="false">
      <c r="A9" s="13" t="n">
        <v>4</v>
      </c>
      <c r="B9" s="14" t="s">
        <v>81</v>
      </c>
      <c r="C9" s="14" t="s">
        <v>120</v>
      </c>
      <c r="D9" s="13" t="s">
        <v>37</v>
      </c>
      <c r="E9" s="13" t="s">
        <v>3</v>
      </c>
      <c r="F9" s="13" t="s">
        <v>52</v>
      </c>
      <c r="G9" s="14" t="s">
        <v>39</v>
      </c>
      <c r="H9" s="14" t="s">
        <v>121</v>
      </c>
      <c r="I9" s="13" t="s">
        <v>41</v>
      </c>
      <c r="J9" s="13" t="s">
        <v>87</v>
      </c>
      <c r="K9" s="15" t="s">
        <v>43</v>
      </c>
      <c r="L9" s="14" t="s">
        <v>44</v>
      </c>
    </row>
    <row r="10" customFormat="false" ht="57.45" hidden="false" customHeight="false" outlineLevel="0" collapsed="false">
      <c r="A10" s="13" t="n">
        <v>5</v>
      </c>
      <c r="B10" s="14" t="s">
        <v>81</v>
      </c>
      <c r="C10" s="14" t="s">
        <v>122</v>
      </c>
      <c r="D10" s="13" t="s">
        <v>37</v>
      </c>
      <c r="E10" s="13" t="s">
        <v>3</v>
      </c>
      <c r="F10" s="13" t="s">
        <v>38</v>
      </c>
      <c r="G10" s="14" t="s">
        <v>39</v>
      </c>
      <c r="H10" s="14" t="s">
        <v>123</v>
      </c>
      <c r="I10" s="13" t="s">
        <v>41</v>
      </c>
      <c r="J10" s="13" t="s">
        <v>124</v>
      </c>
      <c r="K10" s="15" t="s">
        <v>43</v>
      </c>
      <c r="L10" s="14" t="s">
        <v>44</v>
      </c>
    </row>
    <row r="11" customFormat="false" ht="68.65" hidden="false" customHeight="false" outlineLevel="0" collapsed="false">
      <c r="A11" s="13" t="n">
        <v>6</v>
      </c>
      <c r="B11" s="14" t="s">
        <v>125</v>
      </c>
      <c r="C11" s="14" t="s">
        <v>126</v>
      </c>
      <c r="D11" s="13" t="s">
        <v>127</v>
      </c>
      <c r="E11" s="13" t="s">
        <v>3</v>
      </c>
      <c r="F11" s="13" t="s">
        <v>38</v>
      </c>
      <c r="G11" s="14" t="s">
        <v>39</v>
      </c>
      <c r="H11" s="14" t="s">
        <v>128</v>
      </c>
      <c r="I11" s="13" t="s">
        <v>129</v>
      </c>
      <c r="J11" s="13" t="s">
        <v>130</v>
      </c>
      <c r="K11" s="15" t="s">
        <v>43</v>
      </c>
      <c r="L11" s="14"/>
    </row>
    <row r="12" customFormat="false" ht="23.85" hidden="false" customHeight="false" outlineLevel="0" collapsed="false">
      <c r="A12" s="13" t="n">
        <v>7</v>
      </c>
      <c r="B12" s="14" t="s">
        <v>131</v>
      </c>
      <c r="C12" s="14" t="s">
        <v>132</v>
      </c>
      <c r="D12" s="13" t="s">
        <v>133</v>
      </c>
      <c r="E12" s="13" t="s">
        <v>3</v>
      </c>
      <c r="F12" s="13" t="s">
        <v>77</v>
      </c>
      <c r="G12" s="14" t="s">
        <v>39</v>
      </c>
      <c r="H12" s="14" t="s">
        <v>134</v>
      </c>
      <c r="I12" s="13" t="s">
        <v>74</v>
      </c>
      <c r="J12" s="13" t="s">
        <v>113</v>
      </c>
      <c r="K12" s="15" t="s">
        <v>43</v>
      </c>
      <c r="L12" s="14"/>
    </row>
    <row r="13" customFormat="false" ht="35.05" hidden="false" customHeight="false" outlineLevel="0" collapsed="false">
      <c r="A13" s="13" t="n">
        <v>8</v>
      </c>
      <c r="B13" s="14" t="s">
        <v>131</v>
      </c>
      <c r="C13" s="14" t="s">
        <v>135</v>
      </c>
      <c r="D13" s="13" t="s">
        <v>133</v>
      </c>
      <c r="E13" s="13" t="s">
        <v>3</v>
      </c>
      <c r="F13" s="13" t="s">
        <v>109</v>
      </c>
      <c r="G13" s="14" t="s">
        <v>39</v>
      </c>
      <c r="H13" s="14" t="s">
        <v>136</v>
      </c>
      <c r="I13" s="13" t="s">
        <v>74</v>
      </c>
      <c r="J13" s="13" t="s">
        <v>113</v>
      </c>
      <c r="K13" s="15" t="s">
        <v>43</v>
      </c>
      <c r="L13" s="14"/>
    </row>
    <row r="14" customFormat="false" ht="15" hidden="false" customHeight="false" outlineLevel="0" collapsed="false">
      <c r="A14" s="11" t="s">
        <v>68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customFormat="false" ht="23.85" hidden="false" customHeight="false" outlineLevel="0" collapsed="false">
      <c r="A15" s="13" t="n">
        <v>9</v>
      </c>
      <c r="B15" s="14" t="s">
        <v>137</v>
      </c>
      <c r="C15" s="14" t="s">
        <v>138</v>
      </c>
      <c r="D15" s="13" t="s">
        <v>139</v>
      </c>
      <c r="E15" s="13" t="s">
        <v>3</v>
      </c>
      <c r="F15" s="13" t="s">
        <v>140</v>
      </c>
      <c r="G15" s="14" t="s">
        <v>141</v>
      </c>
      <c r="H15" s="14" t="s">
        <v>142</v>
      </c>
      <c r="I15" s="13" t="s">
        <v>41</v>
      </c>
      <c r="J15" s="13" t="s">
        <v>42</v>
      </c>
      <c r="K15" s="15" t="s">
        <v>43</v>
      </c>
      <c r="L15" s="14"/>
    </row>
    <row r="16" customFormat="false" ht="35.05" hidden="false" customHeight="false" outlineLevel="0" collapsed="false">
      <c r="A16" s="13" t="n">
        <v>10</v>
      </c>
      <c r="B16" s="14" t="s">
        <v>69</v>
      </c>
      <c r="C16" s="14" t="s">
        <v>143</v>
      </c>
      <c r="D16" s="13" t="s">
        <v>71</v>
      </c>
      <c r="E16" s="13" t="s">
        <v>3</v>
      </c>
      <c r="F16" s="13" t="s">
        <v>144</v>
      </c>
      <c r="G16" s="14" t="s">
        <v>145</v>
      </c>
      <c r="H16" s="14" t="s">
        <v>146</v>
      </c>
      <c r="I16" s="13" t="s">
        <v>74</v>
      </c>
      <c r="J16" s="13" t="s">
        <v>42</v>
      </c>
      <c r="K16" s="15" t="s">
        <v>43</v>
      </c>
      <c r="L16" s="14"/>
    </row>
    <row r="17" customFormat="false" ht="15" hidden="false" customHeight="false" outlineLevel="0" collapsed="false">
      <c r="A17" s="11" t="s">
        <v>98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customFormat="false" ht="23.85" hidden="false" customHeight="false" outlineLevel="0" collapsed="false">
      <c r="A18" s="13" t="n">
        <v>11</v>
      </c>
      <c r="B18" s="14" t="s">
        <v>147</v>
      </c>
      <c r="C18" s="14" t="s">
        <v>148</v>
      </c>
      <c r="D18" s="13" t="s">
        <v>149</v>
      </c>
      <c r="E18" s="13" t="s">
        <v>3</v>
      </c>
      <c r="F18" s="13" t="s">
        <v>38</v>
      </c>
      <c r="G18" s="14" t="s">
        <v>150</v>
      </c>
      <c r="H18" s="14" t="s">
        <v>151</v>
      </c>
      <c r="I18" s="13" t="s">
        <v>129</v>
      </c>
      <c r="J18" s="13" t="s">
        <v>42</v>
      </c>
      <c r="K18" s="15" t="s">
        <v>43</v>
      </c>
      <c r="L18" s="14"/>
    </row>
  </sheetData>
  <autoFilter ref="A4:L18"/>
  <conditionalFormatting sqref="E5:E18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9" r:id="rId4" display="Apply ↗"/>
    <hyperlink ref="K10" r:id="rId5" display="Apply ↗"/>
    <hyperlink ref="K11" r:id="rId6" display="Apply ↗"/>
    <hyperlink ref="K12" r:id="rId7" display="Apply ↗"/>
    <hyperlink ref="K13" r:id="rId8" display="Apply ↗"/>
    <hyperlink ref="K15" r:id="rId9" display="Apply ↗"/>
    <hyperlink ref="K16" r:id="rId10" display="Apply ↗"/>
    <hyperlink ref="K18" r:id="rId1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9" t="s">
        <v>152</v>
      </c>
    </row>
    <row r="2" customFormat="false" ht="15" hidden="false" customHeight="false" outlineLevel="0" collapsed="false">
      <c r="A2" s="10" t="s">
        <v>153</v>
      </c>
    </row>
    <row r="4" customFormat="false" ht="25.5" hidden="false" customHeight="true" outlineLevel="0" collapsed="false">
      <c r="A4" s="3" t="s">
        <v>22</v>
      </c>
      <c r="B4" s="3" t="s">
        <v>154</v>
      </c>
      <c r="C4" s="3" t="s">
        <v>24</v>
      </c>
      <c r="D4" s="3" t="s">
        <v>28</v>
      </c>
      <c r="E4" s="3" t="s">
        <v>155</v>
      </c>
      <c r="F4" s="3" t="s">
        <v>31</v>
      </c>
      <c r="G4" s="3" t="s">
        <v>156</v>
      </c>
      <c r="H4" s="3" t="s">
        <v>33</v>
      </c>
    </row>
    <row r="5" customFormat="false" ht="15" hidden="false" customHeight="false" outlineLevel="0" collapsed="false">
      <c r="A5" s="11" t="s">
        <v>157</v>
      </c>
      <c r="B5" s="12"/>
      <c r="C5" s="12"/>
      <c r="D5" s="12"/>
      <c r="E5" s="12"/>
      <c r="F5" s="12"/>
      <c r="G5" s="12"/>
      <c r="H5" s="12"/>
    </row>
    <row r="6" customFormat="false" ht="15" hidden="false" customHeight="false" outlineLevel="0" collapsed="false">
      <c r="A6" s="13" t="n">
        <v>1</v>
      </c>
      <c r="B6" s="13" t="s">
        <v>158</v>
      </c>
      <c r="C6" s="14" t="s">
        <v>159</v>
      </c>
      <c r="D6" s="13" t="s">
        <v>160</v>
      </c>
      <c r="E6" s="13" t="s">
        <v>161</v>
      </c>
      <c r="F6" s="13" t="s">
        <v>113</v>
      </c>
      <c r="G6" s="15" t="s">
        <v>43</v>
      </c>
      <c r="H6" s="14" t="s">
        <v>162</v>
      </c>
    </row>
    <row r="7" customFormat="false" ht="15" hidden="false" customHeight="false" outlineLevel="0" collapsed="false">
      <c r="A7" s="11" t="s">
        <v>163</v>
      </c>
      <c r="B7" s="12"/>
      <c r="C7" s="12"/>
      <c r="D7" s="12"/>
      <c r="E7" s="12"/>
      <c r="F7" s="12"/>
      <c r="G7" s="12"/>
      <c r="H7" s="12"/>
    </row>
    <row r="8" customFormat="false" ht="15" hidden="false" customHeight="false" outlineLevel="0" collapsed="false">
      <c r="A8" s="13" t="n">
        <v>2</v>
      </c>
      <c r="B8" s="13" t="s">
        <v>164</v>
      </c>
      <c r="C8" s="14" t="s">
        <v>165</v>
      </c>
      <c r="D8" s="13" t="s">
        <v>166</v>
      </c>
      <c r="E8" s="13" t="s">
        <v>161</v>
      </c>
      <c r="F8" s="13" t="s">
        <v>113</v>
      </c>
      <c r="G8" s="15" t="s">
        <v>43</v>
      </c>
      <c r="H8" s="14" t="s">
        <v>167</v>
      </c>
    </row>
    <row r="9" customFormat="false" ht="15" hidden="false" customHeight="false" outlineLevel="0" collapsed="false">
      <c r="A9" s="13" t="n">
        <v>3</v>
      </c>
      <c r="B9" s="13" t="s">
        <v>164</v>
      </c>
      <c r="C9" s="14" t="s">
        <v>168</v>
      </c>
      <c r="D9" s="13" t="s">
        <v>160</v>
      </c>
      <c r="E9" s="13" t="s">
        <v>161</v>
      </c>
      <c r="F9" s="13" t="s">
        <v>113</v>
      </c>
      <c r="G9" s="15" t="s">
        <v>43</v>
      </c>
      <c r="H9" s="14" t="s">
        <v>169</v>
      </c>
    </row>
    <row r="10" customFormat="false" ht="15" hidden="false" customHeight="false" outlineLevel="0" collapsed="false">
      <c r="A10" s="11" t="s">
        <v>170</v>
      </c>
      <c r="B10" s="12"/>
      <c r="C10" s="12"/>
      <c r="D10" s="12"/>
      <c r="E10" s="12"/>
      <c r="F10" s="12"/>
      <c r="G10" s="12"/>
      <c r="H10" s="12"/>
    </row>
    <row r="11" customFormat="false" ht="15" hidden="false" customHeight="false" outlineLevel="0" collapsed="false">
      <c r="A11" s="13" t="n">
        <v>4</v>
      </c>
      <c r="B11" s="13" t="s">
        <v>171</v>
      </c>
      <c r="C11" s="14" t="s">
        <v>172</v>
      </c>
      <c r="D11" s="13" t="s">
        <v>160</v>
      </c>
      <c r="E11" s="13" t="s">
        <v>161</v>
      </c>
      <c r="F11" s="13" t="s">
        <v>113</v>
      </c>
      <c r="G11" s="15" t="s">
        <v>43</v>
      </c>
      <c r="H11" s="14" t="s">
        <v>173</v>
      </c>
    </row>
    <row r="12" customFormat="false" ht="15" hidden="false" customHeight="false" outlineLevel="0" collapsed="false">
      <c r="A12" s="11" t="s">
        <v>174</v>
      </c>
      <c r="B12" s="12"/>
      <c r="C12" s="12"/>
      <c r="D12" s="12"/>
      <c r="E12" s="12"/>
      <c r="F12" s="12"/>
      <c r="G12" s="12"/>
      <c r="H12" s="12"/>
    </row>
    <row r="13" customFormat="false" ht="15" hidden="false" customHeight="false" outlineLevel="0" collapsed="false">
      <c r="A13" s="13" t="n">
        <v>5</v>
      </c>
      <c r="B13" s="13" t="s">
        <v>175</v>
      </c>
      <c r="C13" s="14" t="s">
        <v>176</v>
      </c>
      <c r="D13" s="13" t="s">
        <v>160</v>
      </c>
      <c r="E13" s="13" t="s">
        <v>161</v>
      </c>
      <c r="F13" s="13" t="s">
        <v>113</v>
      </c>
      <c r="G13" s="15" t="s">
        <v>43</v>
      </c>
      <c r="H13" s="14" t="s">
        <v>177</v>
      </c>
    </row>
    <row r="14" customFormat="false" ht="15" hidden="false" customHeight="false" outlineLevel="0" collapsed="false">
      <c r="A14" s="13" t="n">
        <v>6</v>
      </c>
      <c r="B14" s="13" t="s">
        <v>175</v>
      </c>
      <c r="C14" s="14" t="s">
        <v>178</v>
      </c>
      <c r="D14" s="13" t="s">
        <v>179</v>
      </c>
      <c r="E14" s="13" t="s">
        <v>180</v>
      </c>
      <c r="F14" s="13" t="s">
        <v>113</v>
      </c>
      <c r="G14" s="15" t="s">
        <v>43</v>
      </c>
      <c r="H14" s="14" t="s">
        <v>181</v>
      </c>
    </row>
    <row r="15" customFormat="false" ht="15" hidden="false" customHeight="false" outlineLevel="0" collapsed="false">
      <c r="A15" s="13" t="n">
        <v>7</v>
      </c>
      <c r="B15" s="13" t="s">
        <v>175</v>
      </c>
      <c r="C15" s="14" t="s">
        <v>182</v>
      </c>
      <c r="D15" s="13" t="s">
        <v>183</v>
      </c>
      <c r="E15" s="13" t="s">
        <v>184</v>
      </c>
      <c r="F15" s="13" t="s">
        <v>113</v>
      </c>
      <c r="G15" s="15" t="s">
        <v>43</v>
      </c>
      <c r="H15" s="14" t="s">
        <v>185</v>
      </c>
    </row>
    <row r="16" customFormat="false" ht="15" hidden="false" customHeight="false" outlineLevel="0" collapsed="false">
      <c r="A16" s="13" t="n">
        <v>8</v>
      </c>
      <c r="B16" s="13" t="s">
        <v>175</v>
      </c>
      <c r="C16" s="14" t="s">
        <v>186</v>
      </c>
      <c r="D16" s="13" t="s">
        <v>187</v>
      </c>
      <c r="E16" s="13" t="s">
        <v>188</v>
      </c>
      <c r="F16" s="13" t="s">
        <v>113</v>
      </c>
      <c r="G16" s="15" t="s">
        <v>43</v>
      </c>
      <c r="H16" s="14" t="s">
        <v>189</v>
      </c>
    </row>
    <row r="17" customFormat="false" ht="15" hidden="false" customHeight="false" outlineLevel="0" collapsed="false">
      <c r="A17" s="11" t="s">
        <v>190</v>
      </c>
      <c r="B17" s="12"/>
      <c r="C17" s="12"/>
      <c r="D17" s="12"/>
      <c r="E17" s="12"/>
      <c r="F17" s="12"/>
      <c r="G17" s="12"/>
      <c r="H17" s="12"/>
    </row>
    <row r="18" customFormat="false" ht="15" hidden="false" customHeight="false" outlineLevel="0" collapsed="false">
      <c r="A18" s="13" t="n">
        <v>9</v>
      </c>
      <c r="B18" s="13" t="s">
        <v>191</v>
      </c>
      <c r="C18" s="14" t="s">
        <v>192</v>
      </c>
      <c r="D18" s="13" t="s">
        <v>140</v>
      </c>
      <c r="E18" s="13" t="s">
        <v>184</v>
      </c>
      <c r="F18" s="13" t="s">
        <v>113</v>
      </c>
      <c r="G18" s="15" t="s">
        <v>43</v>
      </c>
      <c r="H18" s="14" t="s">
        <v>193</v>
      </c>
    </row>
    <row r="19" customFormat="false" ht="15" hidden="false" customHeight="false" outlineLevel="0" collapsed="false">
      <c r="A19" s="13" t="n">
        <v>10</v>
      </c>
      <c r="B19" s="13" t="s">
        <v>191</v>
      </c>
      <c r="C19" s="14" t="s">
        <v>194</v>
      </c>
      <c r="D19" s="13" t="s">
        <v>195</v>
      </c>
      <c r="E19" s="13" t="s">
        <v>196</v>
      </c>
      <c r="F19" s="13" t="s">
        <v>42</v>
      </c>
      <c r="G19" s="15" t="s">
        <v>43</v>
      </c>
      <c r="H19" s="14" t="s">
        <v>197</v>
      </c>
    </row>
  </sheetData>
  <autoFilter ref="A4:H19"/>
  <hyperlinks>
    <hyperlink ref="G6" r:id="rId1" display="Apply ↗"/>
    <hyperlink ref="G8" r:id="rId2" display="Apply ↗"/>
    <hyperlink ref="G9" r:id="rId3" display="Apply ↗"/>
    <hyperlink ref="G11" r:id="rId4" display="Apply ↗"/>
    <hyperlink ref="G13" r:id="rId5" display="Apply ↗"/>
    <hyperlink ref="G14" r:id="rId6" display="Apply ↗"/>
    <hyperlink ref="G15" r:id="rId7" display="Apply ↗"/>
    <hyperlink ref="G16" r:id="rId8" display="Apply ↗"/>
    <hyperlink ref="G18" r:id="rId9" display="Apply ↗"/>
    <hyperlink ref="G19" r:id="rId10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2026-10-26T07:19:42Z</dcterms:created>
  <dc:creator>openpyxl</dc:creator>
  <dc:description/>
  <dc:language>en-US</dc:language>
  <cp:lastModifiedBy/>
  <dcterms:modified xsi:type="dcterms:W3CDTF">2026-10-26T07:19:42Z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