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Support" sheetId="2" state="visible" r:id="rId4"/>
    <sheet name="Marketing &amp; Creative" sheetId="3" state="visible" r:id="rId5"/>
    <sheet name="Tech &amp; Operations" sheetId="4" state="visible" r:id="rId6"/>
    <sheet name="micro1 Referral" sheetId="5" state="visible" r:id="rId7"/>
  </sheets>
  <definedNames>
    <definedName function="false" hidden="false" localSheetId="1" name="_xlnm.Print_Area" vbProcedure="false">'Customer Support'!$A$1:$L$6</definedName>
    <definedName function="false" hidden="true" localSheetId="1" name="_xlnm._FilterDatabase" vbProcedure="false">'Customer Support'!$A$4:$L$6</definedName>
    <definedName function="false" hidden="false" localSheetId="2" name="_xlnm.Print_Area" vbProcedure="false">'Marketing &amp; Creative'!$A$1:$L$10</definedName>
    <definedName function="false" hidden="true" localSheetId="2" name="_xlnm._FilterDatabase" vbProcedure="false">'Marketing &amp; Creative'!$A$4:$L$10</definedName>
    <definedName function="false" hidden="true" localSheetId="4" name="_xlnm._FilterDatabase" vbProcedure="false">'micro1 Referral'!$A$4:$H$6</definedName>
    <definedName function="false" hidden="false" localSheetId="3" name="_xlnm.Print_Area" vbProcedure="false">'Tech &amp; Operations'!$A$1:$L$12</definedName>
    <definedName function="false" hidden="true" localSheetId="3" name="_xlnm._FilterDatabase" vbProcedure="false">'Tech &amp; Operations'!$A$4:$L$12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<sst xmlns="http://schemas.openxmlformats.org/spreadsheetml/2006/main" count="187" uniqueCount="101">
  <si>
    <t xml:space="preserve">ERJ Remote Job Search Sheet — 27 Oct 2026</t>
  </si>
  <si>
    <t xml:space="preserve">Roles posted or first appearing from 26 Oct (including those that showed up after the 26 Oct sheet was made) to 27 Oct · fully remote · open to Nigeria · no repeated links</t>
  </si>
  <si>
    <t xml:space="preserve">Tab</t>
  </si>
  <si>
    <t xml:space="preserve">Open — Nigeria eligible</t>
  </si>
  <si>
    <t xml:space="preserve">Check before applying</t>
  </si>
  <si>
    <t xml:space="preserve">Total</t>
  </si>
  <si>
    <t xml:space="preserve">Customer Support</t>
  </si>
  <si>
    <t xml:space="preserve">Marketing &amp; Creative</t>
  </si>
  <si>
    <t xml:space="preserve">Tech &amp; Operations</t>
  </si>
  <si>
    <t xml:space="preserve">micro1 Referral</t>
  </si>
  <si>
    <t xml:space="preserve">Notes</t>
  </si>
  <si>
    <t xml:space="preserve">• Rule used: the posting names Nigeria, Africa, or worldwide/anywhere. EMEA-only, plain "Remote" and roles with office days were left out.</t>
  </si>
  <si>
    <t xml:space="preserve">• Every link here is new: none appears on the 26 Oct sheet or any earlier ERJ sheet.</t>
  </si>
  <si>
    <t xml:space="preserve">• Growe Talents roles are in the iGaming / online casino industry.</t>
  </si>
  <si>
    <t xml:space="preserve">• Openhill Global and 10Alytics: no new roles since 26 Oct.</t>
  </si>
  <si>
    <t xml:space="preserve">• Left out: micro1 Food Delivery App User Tester (US-based only), Chief of Staff ($7–8/hr) and military/defence roles; 20four7VA bilingual admin role (second language required); Jobgether Software Engineer - Storage (same Supabase role shared on 26 Oct); Growe roles listed Europe-first or Chile-first.</t>
  </si>
  <si>
    <t xml:space="preserve">Customer Support — new remote roles open to Nigeria (27 Oct 2026)</t>
  </si>
  <si>
    <t xml:space="preserve">Posted or first appeared 26–27 Oct 2026 · fully remote · open to people in Nigeria · no link from any earlier ERJ sheet.</t>
  </si>
  <si>
    <t xml:space="preserve">#</t>
  </si>
  <si>
    <t xml:space="preserve">Who can apply</t>
  </si>
  <si>
    <t xml:space="preserve">Role</t>
  </si>
  <si>
    <t xml:space="preserve">Company</t>
  </si>
  <si>
    <t xml:space="preserve">Status</t>
  </si>
  <si>
    <t xml:space="preserve">Level</t>
  </si>
  <si>
    <t xml:space="preserve">Pay (as listed)</t>
  </si>
  <si>
    <t xml:space="preserve">Key requirements</t>
  </si>
  <si>
    <t xml:space="preserve">Source</t>
  </si>
  <si>
    <t xml:space="preserve">Posted</t>
  </si>
  <si>
    <t xml:space="preserve">Apply link</t>
  </si>
  <si>
    <t xml:space="preserve">Note</t>
  </si>
  <si>
    <t xml:space="preserve">▸ Nigeria-based remote</t>
  </si>
  <si>
    <t xml:space="preserve">South Africa - JHB / Kenya / Morocco / South Africa - CPT / Nigeria</t>
  </si>
  <si>
    <t xml:space="preserve">Customer Support Specialist</t>
  </si>
  <si>
    <t xml:space="preserve">The Global Talent Co</t>
  </si>
  <si>
    <t xml:space="preserve">Not stated</t>
  </si>
  <si>
    <t xml:space="preserve">Undisclosed</t>
  </si>
  <si>
    <t xml:space="preserve">Excellent written English; Genuine empathy and strong people instincts — you read tone well and respond with warmth, even to a frustrated message</t>
  </si>
  <si>
    <t xml:space="preserve">Ashby</t>
  </si>
  <si>
    <t xml:space="preserve">26 Oct</t>
  </si>
  <si>
    <t xml:space="preserve">Apply ↗</t>
  </si>
  <si>
    <t xml:space="preserve">Marketing &amp; Creative — new remote roles open to Nigeria (27 Oct 2026)</t>
  </si>
  <si>
    <t xml:space="preserve">▸ Worldwide / global</t>
  </si>
  <si>
    <t xml:space="preserve">Work from anywhere in the world</t>
  </si>
  <si>
    <t xml:space="preserve">Creative Strategist</t>
  </si>
  <si>
    <t xml:space="preserve">Jobgether partner</t>
  </si>
  <si>
    <t xml:space="preserve">See posting</t>
  </si>
  <si>
    <t xml:space="preserve">Not listed</t>
  </si>
  <si>
    <t xml:space="preserve">Ad concepts, briefs and creative testing for paid social</t>
  </si>
  <si>
    <t xml:space="preserve">Lever</t>
  </si>
  <si>
    <t xml:space="preserve">Posted via Jobgether (partner company not named)</t>
  </si>
  <si>
    <t xml:space="preserve">Head of TikTok Shop</t>
  </si>
  <si>
    <t xml:space="preserve">Lead TikTok Shop growth, creators and live commerce</t>
  </si>
  <si>
    <t xml:space="preserve">Nairobi / Cape Town / Lagos / Kampala / Accra / Johannesburg</t>
  </si>
  <si>
    <t xml:space="preserve">Senior Growth Marketing Manager</t>
  </si>
  <si>
    <t xml:space="preserve">M-KOPA</t>
  </si>
  <si>
    <t xml:space="preserve">Check — hub cities listed</t>
  </si>
  <si>
    <t xml:space="preserve">5+ years</t>
  </si>
  <si>
    <t xml:space="preserve">Build and run multi-channel campaigns (SMS, WhatsApp, push, in-app) in CleverTap against pod goals; Track funnel performance and flag drop-off points to the pod lead you're supporting</t>
  </si>
  <si>
    <t xml:space="preserve">Lists Lagos among hub cities; confirm it is fully remote, not hybrid, before applying</t>
  </si>
  <si>
    <t xml:space="preserve">▸ Region list incl. Nigeria</t>
  </si>
  <si>
    <t xml:space="preserve">Egypt / Argentina / Ethiopia / South Africa / Nigeria</t>
  </si>
  <si>
    <t xml:space="preserve">Senior Web &amp; Brand Designer</t>
  </si>
  <si>
    <t xml:space="preserve">Scale Army</t>
  </si>
  <si>
    <t xml:space="preserve">4+ years</t>
  </si>
  <si>
    <t xml:space="preserve">$1.9K – $2.4K per month</t>
  </si>
  <si>
    <t xml:space="preserve">Strong proficiency in Figma and Adobe Creative Cloud, including Photoshop, Illustrator, and InDesign; Strong understanding of typography, color theory, visual hierarchy, layout, and composition</t>
  </si>
  <si>
    <t xml:space="preserve">Tech &amp; Operations — new remote roles open to Nigeria (27 Oct 2026)</t>
  </si>
  <si>
    <t xml:space="preserve">Anywhere / Anywhere</t>
  </si>
  <si>
    <t xml:space="preserve">Operational Project Manager</t>
  </si>
  <si>
    <t xml:space="preserve">Growe Talents</t>
  </si>
  <si>
    <t xml:space="preserve">2+ years</t>
  </si>
  <si>
    <t xml:space="preserve">2+ years of experience in Project Coordination, Project Management, Delivery Management, Operations, or a similar cross-functional role; Proven experience coordinating multiple teams and stakeholders in a dynamic, fast-paced environment</t>
  </si>
  <si>
    <t xml:space="preserve">Greenhouse</t>
  </si>
  <si>
    <t xml:space="preserve">iGaming / online casino industry</t>
  </si>
  <si>
    <t xml:space="preserve">Remote, Global</t>
  </si>
  <si>
    <t xml:space="preserve">Container Engineer</t>
  </si>
  <si>
    <t xml:space="preserve">Supabase</t>
  </si>
  <si>
    <t xml:space="preserve">Have 5+ years in platform engineering, container/Kubernetes platform operations, SRE, or production infrastructure; Are genuinely deep in at least one — ideally two — of the three strength areas below (and tell us which is your center of gravity):</t>
  </si>
  <si>
    <t xml:space="preserve">Webflow Project Manager</t>
  </si>
  <si>
    <t xml:space="preserve">3+ years</t>
  </si>
  <si>
    <t xml:space="preserve">$2K – $2.5K per month</t>
  </si>
  <si>
    <t xml:space="preserve">Strong working knowledge of Webflow, including CMS collections, common frameworks, and design-to-development workflows; Solid understanding of website structure and development technologies, including HTML, CSS, and JavaScript</t>
  </si>
  <si>
    <t xml:space="preserve">Workflows and AI Agent Builder</t>
  </si>
  <si>
    <t xml:space="preserve">$2.9K – $3.7K per month</t>
  </si>
  <si>
    <t xml:space="preserve">Proficiency in developing and implementing automated data pipelines; Strong understanding of database structures, including SQL and Microsoft Access</t>
  </si>
  <si>
    <t xml:space="preserve">Remote — Nigeria / Egypt / Uzbekistan</t>
  </si>
  <si>
    <t xml:space="preserve">Data Engineer</t>
  </si>
  <si>
    <t xml:space="preserve">SOUM</t>
  </si>
  <si>
    <t xml:space="preserve">Build and maintain data pipelines for a re-commerce marketplace</t>
  </si>
  <si>
    <t xml:space="preserve">27 Oct</t>
  </si>
  <si>
    <t xml:space="preserve">micro1 — new roles on your referral link (27 Oct 2026)</t>
  </si>
  <si>
    <t xml:space="preserve">Every "Apply ↗" opens that exact micro1 job with your referral code built in.</t>
  </si>
  <si>
    <t xml:space="preserve">Field</t>
  </si>
  <si>
    <t xml:space="preserve">Openings</t>
  </si>
  <si>
    <t xml:space="preserve">Apply via referral</t>
  </si>
  <si>
    <t xml:space="preserve">▸ Customer Support &amp; AI Training</t>
  </si>
  <si>
    <t xml:space="preserve">Customer Support &amp; AI Training</t>
  </si>
  <si>
    <t xml:space="preserve">Food Delivery AI Response Evaluator</t>
  </si>
  <si>
    <t xml:space="preserve">$10–30/hr</t>
  </si>
  <si>
    <t xml:space="preserve">10</t>
  </si>
  <si>
    <t xml:space="preserve">Customer service and food-delivery know-how; rate AI answers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</si>
</sst>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23A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DE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DE3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23A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3E4"/>
        </patternFill>
      </fill>
    </dxf>
    <dxf>
      <font>
        <name val="Arial"/>
        <charset val="1"/>
        <family val="0"/>
        <color rgb="FF7A5B00"/>
      </font>
      <fill>
        <patternFill>
          <bgColor rgb="FFFFF2CC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A5B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DE3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23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RJ_Search_Sheet_27_Oct_2026.xlsx" TargetMode="External"/><Relationship Id="rId2" Type="http://schemas.openxmlformats.org/officeDocument/2006/relationships/hyperlink" Target="ERJ_Search_Sheet_27_Oct_2026.xlsx" TargetMode="External"/><Relationship Id="rId3" Type="http://schemas.openxmlformats.org/officeDocument/2006/relationships/hyperlink" Target="ERJ_Search_Sheet_27_Oct_2026.xlsx" TargetMode="External"/><Relationship Id="rId4" Type="http://schemas.openxmlformats.org/officeDocument/2006/relationships/hyperlink" Target="ERJ_Search_Sheet_27_Oct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obs.ashbyhq.com/the-global-talent-co/2acea040-c859-4974-8a03-b765c141eb8b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jobs.lever.co/jobgether/a13ad18b-2561-4be9-8305-2f796279fff4" TargetMode="External"/><Relationship Id="rId2" Type="http://schemas.openxmlformats.org/officeDocument/2006/relationships/hyperlink" Target="https://jobs.lever.co/jobgether/e13f8c2c-f793-4c39-8a77-a6a5c6c9fb64" TargetMode="External"/><Relationship Id="rId3" Type="http://schemas.openxmlformats.org/officeDocument/2006/relationships/hyperlink" Target="https://jobs.ashbyhq.com/M-KOPA/be14525e-bd41-4e18-9cfc-8513e27f0a4e" TargetMode="External"/><Relationship Id="rId4" Type="http://schemas.openxmlformats.org/officeDocument/2006/relationships/hyperlink" Target="https://jobs.ashbyhq.com/Scale%20Army%20Careers/058c0a3c-3f9d-4d3d-9bd8-e15b5e907454" TargetMode="External"/><Relationship Id="rId5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ob-boards.eu.greenhouse.io/growetalents/jobs/5014551101" TargetMode="External"/><Relationship Id="rId2" Type="http://schemas.openxmlformats.org/officeDocument/2006/relationships/hyperlink" Target="https://jobs.ashbyhq.com/supabase/6f7656fc-9983-48be-bbd3-8b40e0e3027a" TargetMode="External"/><Relationship Id="rId3" Type="http://schemas.openxmlformats.org/officeDocument/2006/relationships/hyperlink" Target="https://jobs.ashbyhq.com/Scale%20Army%20Careers/ac414845-a654-4b65-8d0b-f12b3e9bd602" TargetMode="External"/><Relationship Id="rId4" Type="http://schemas.openxmlformats.org/officeDocument/2006/relationships/hyperlink" Target="https://jobs.ashbyhq.com/Scale%20Army%20Careers/af8bec67-4b4a-4882-a859-b7006e5f32b4" TargetMode="External"/><Relationship Id="rId5" Type="http://schemas.openxmlformats.org/officeDocument/2006/relationships/hyperlink" Target="https://jobs.lever.co/soum/d92500f9-6ba1-4c98-8ef5-849dd4f1e4f4" TargetMode="External"/><Relationship Id="rId6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jobs.micro1.ai/post/a7fec975-aeb3-43d7-bcb9-0a3442cfd5b8?referralCode=d3605f74-92f0-4f1c-b8e2-4ab757bffc26" TargetMode="External"/><Relationship Id="rId2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COUNTIF('Customer Support'!$E$5:$E$6,"Open*")</f>
        <v>1</v>
      </c>
      <c r="C5" s="5" t="n">
        <f aca="false">COUNTIF('Customer Support'!$E$5:$E$6,"Check*")</f>
        <v>0</v>
      </c>
      <c r="D5" s="5" t="n">
        <f aca="false">B5+C5</f>
        <v>1</v>
      </c>
    </row>
    <row r="6" customFormat="false" ht="15" hidden="false" customHeight="false" outlineLevel="0" collapsed="false">
      <c r="A6" s="4" t="s">
        <v>7</v>
      </c>
      <c r="B6" s="5" t="n">
        <f aca="false">COUNTIF('Marketing &amp; Creative'!$E$5:$E$10,"Open*")</f>
        <v>3</v>
      </c>
      <c r="C6" s="5" t="n">
        <f aca="false">COUNTIF('Marketing &amp; Creative'!$E$5:$E$10,"Check*")</f>
        <v>1</v>
      </c>
      <c r="D6" s="5" t="n">
        <f aca="false">B6+C6</f>
        <v>4</v>
      </c>
    </row>
    <row r="7" customFormat="false" ht="15" hidden="false" customHeight="false" outlineLevel="0" collapsed="false">
      <c r="A7" s="4" t="s">
        <v>8</v>
      </c>
      <c r="B7" s="5" t="n">
        <f aca="false">COUNTIF('Tech &amp; Operations'!$E$5:$E$12,"Open*")</f>
        <v>5</v>
      </c>
      <c r="C7" s="5" t="n">
        <f aca="false">COUNTIF('Tech &amp; Operations'!$E$5:$E$12,"Check*")</f>
        <v>0</v>
      </c>
      <c r="D7" s="5" t="n">
        <f aca="false">B7+C7</f>
        <v>5</v>
      </c>
    </row>
    <row r="8" customFormat="false" ht="15" hidden="false" customHeight="false" outlineLevel="0" collapsed="false">
      <c r="A8" s="4" t="s">
        <v>9</v>
      </c>
      <c r="B8" s="5" t="n">
        <f aca="false">COUNTA('micro1 Referral'!$G$5:$G$6)</f>
        <v>1</v>
      </c>
      <c r="C8" s="0" t="n">
        <v>0</v>
      </c>
      <c r="D8" s="5" t="n">
        <f aca="false">B8+C8</f>
        <v>1</v>
      </c>
    </row>
    <row r="9" customFormat="false" ht="15" hidden="false" customHeight="false" outlineLevel="0" collapsed="false">
      <c r="A9" s="6" t="s">
        <v>5</v>
      </c>
      <c r="B9" s="6" t="n">
        <f aca="false">SUM(B5:B8)</f>
        <v>10</v>
      </c>
      <c r="C9" s="6" t="n">
        <f aca="false">SUM(C5:C8)</f>
        <v>1</v>
      </c>
      <c r="D9" s="6" t="n">
        <f aca="false">SUM(D5:D8)</f>
        <v>11</v>
      </c>
    </row>
    <row r="11" customFormat="false" ht="15" hidden="false" customHeight="false" outlineLevel="0" collapsed="false">
      <c r="A11" s="7" t="s">
        <v>10</v>
      </c>
    </row>
    <row r="12" customFormat="false" ht="43.5" hidden="false" customHeight="true" outlineLevel="0" collapsed="false">
      <c r="A12" s="8" t="s">
        <v>11</v>
      </c>
      <c r="B12" s="8"/>
      <c r="C12" s="8"/>
      <c r="D12" s="8"/>
    </row>
    <row r="13" customFormat="false" ht="43.5" hidden="false" customHeight="true" outlineLevel="0" collapsed="false">
      <c r="A13" s="8" t="s">
        <v>12</v>
      </c>
      <c r="B13" s="8"/>
      <c r="C13" s="8"/>
      <c r="D13" s="8"/>
    </row>
    <row r="14" customFormat="false" ht="43.5" hidden="false" customHeight="true" outlineLevel="0" collapsed="false">
      <c r="A14" s="8" t="s">
        <v>13</v>
      </c>
      <c r="B14" s="8"/>
      <c r="C14" s="8"/>
      <c r="D14" s="8"/>
    </row>
    <row r="15" customFormat="false" ht="43.5" hidden="false" customHeight="true" outlineLevel="0" collapsed="false">
      <c r="A15" s="8" t="s">
        <v>14</v>
      </c>
      <c r="B15" s="8"/>
      <c r="C15" s="8"/>
      <c r="D15" s="8"/>
    </row>
    <row r="16" customFormat="false" ht="43.5" hidden="false" customHeight="true" outlineLevel="0" collapsed="false">
      <c r="A16" s="8" t="s">
        <v>15</v>
      </c>
      <c r="B16" s="8"/>
      <c r="C16" s="8"/>
      <c r="D16" s="8"/>
    </row>
  </sheetData>
  <mergeCells count="5">
    <mergeCell ref="A12:D12"/>
    <mergeCell ref="A13:D13"/>
    <mergeCell ref="A14:D14"/>
    <mergeCell ref="A15:D15"/>
    <mergeCell ref="A16:D16"/>
  </mergeCells>
  <hyperlinks>
    <hyperlink ref="A5" r:id="rId1" location="'Customer%20Support'!A1" display="Customer Support"/>
    <hyperlink ref="A6" r:id="rId2" location="'Marketing%20&amp;%20Creative'!A1" display="Marketing &amp; Creative"/>
    <hyperlink ref="A7" r:id="rId3" location="'Tech%20&amp;%20Operations'!A1" display="Tech &amp; Operations"/>
    <hyperlink ref="A8" r:id="rId4" location="'micro1%20Referral'!A1" display="micro1 Refer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16</v>
      </c>
    </row>
    <row r="2" customFormat="false" ht="15" hidden="false" customHeight="false" outlineLevel="0" collapsed="false">
      <c r="A2" s="10" t="s">
        <v>17</v>
      </c>
    </row>
    <row r="4" customFormat="false" ht="25.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</row>
    <row r="5" customFormat="false" ht="15" hidden="false" customHeight="false" outlineLevel="0" collapsed="false">
      <c r="A5" s="11" t="s">
        <v>30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35.05" hidden="false" customHeight="false" outlineLevel="0" collapsed="false">
      <c r="A6" s="13" t="n">
        <v>1</v>
      </c>
      <c r="B6" s="14" t="s">
        <v>31</v>
      </c>
      <c r="C6" s="14" t="s">
        <v>32</v>
      </c>
      <c r="D6" s="13" t="s">
        <v>33</v>
      </c>
      <c r="E6" s="13" t="s">
        <v>3</v>
      </c>
      <c r="F6" s="13" t="s">
        <v>34</v>
      </c>
      <c r="G6" s="14" t="s">
        <v>35</v>
      </c>
      <c r="H6" s="14" t="s">
        <v>36</v>
      </c>
      <c r="I6" s="13" t="s">
        <v>37</v>
      </c>
      <c r="J6" s="13" t="s">
        <v>38</v>
      </c>
      <c r="K6" s="15" t="s">
        <v>39</v>
      </c>
      <c r="L6" s="14"/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40</v>
      </c>
    </row>
    <row r="2" customFormat="false" ht="15" hidden="false" customHeight="false" outlineLevel="0" collapsed="false">
      <c r="A2" s="10" t="s">
        <v>17</v>
      </c>
    </row>
    <row r="4" customFormat="false" ht="25.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</row>
    <row r="5" customFormat="false" ht="15" hidden="false" customHeight="false" outlineLevel="0" collapsed="false">
      <c r="A5" s="11" t="s">
        <v>41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23.85" hidden="false" customHeight="false" outlineLevel="0" collapsed="false">
      <c r="A6" s="13" t="n">
        <v>1</v>
      </c>
      <c r="B6" s="14" t="s">
        <v>42</v>
      </c>
      <c r="C6" s="14" t="s">
        <v>43</v>
      </c>
      <c r="D6" s="13" t="s">
        <v>44</v>
      </c>
      <c r="E6" s="13" t="s">
        <v>3</v>
      </c>
      <c r="F6" s="13" t="s">
        <v>45</v>
      </c>
      <c r="G6" s="14" t="s">
        <v>46</v>
      </c>
      <c r="H6" s="14" t="s">
        <v>47</v>
      </c>
      <c r="I6" s="13" t="s">
        <v>48</v>
      </c>
      <c r="J6" s="13" t="s">
        <v>38</v>
      </c>
      <c r="K6" s="15" t="s">
        <v>39</v>
      </c>
      <c r="L6" s="14" t="s">
        <v>49</v>
      </c>
    </row>
    <row r="7" customFormat="false" ht="23.85" hidden="false" customHeight="false" outlineLevel="0" collapsed="false">
      <c r="A7" s="13" t="n">
        <v>2</v>
      </c>
      <c r="B7" s="14" t="s">
        <v>42</v>
      </c>
      <c r="C7" s="14" t="s">
        <v>50</v>
      </c>
      <c r="D7" s="13" t="s">
        <v>44</v>
      </c>
      <c r="E7" s="13" t="s">
        <v>3</v>
      </c>
      <c r="F7" s="13" t="s">
        <v>45</v>
      </c>
      <c r="G7" s="14" t="s">
        <v>46</v>
      </c>
      <c r="H7" s="14" t="s">
        <v>51</v>
      </c>
      <c r="I7" s="13" t="s">
        <v>48</v>
      </c>
      <c r="J7" s="13" t="s">
        <v>38</v>
      </c>
      <c r="K7" s="15" t="s">
        <v>39</v>
      </c>
      <c r="L7" s="14" t="s">
        <v>49</v>
      </c>
    </row>
    <row r="8" customFormat="false" ht="46.25" hidden="false" customHeight="false" outlineLevel="0" collapsed="false">
      <c r="A8" s="13" t="n">
        <v>3</v>
      </c>
      <c r="B8" s="14" t="s">
        <v>52</v>
      </c>
      <c r="C8" s="14" t="s">
        <v>53</v>
      </c>
      <c r="D8" s="13" t="s">
        <v>54</v>
      </c>
      <c r="E8" s="13" t="s">
        <v>55</v>
      </c>
      <c r="F8" s="13" t="s">
        <v>56</v>
      </c>
      <c r="G8" s="14" t="s">
        <v>35</v>
      </c>
      <c r="H8" s="14" t="s">
        <v>57</v>
      </c>
      <c r="I8" s="13" t="s">
        <v>37</v>
      </c>
      <c r="J8" s="13" t="s">
        <v>38</v>
      </c>
      <c r="K8" s="15" t="s">
        <v>39</v>
      </c>
      <c r="L8" s="14" t="s">
        <v>58</v>
      </c>
    </row>
    <row r="9" customFormat="false" ht="15" hidden="false" customHeight="false" outlineLevel="0" collapsed="false">
      <c r="A9" s="11" t="s">
        <v>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46.25" hidden="false" customHeight="false" outlineLevel="0" collapsed="false">
      <c r="A10" s="13" t="n">
        <v>4</v>
      </c>
      <c r="B10" s="14" t="s">
        <v>60</v>
      </c>
      <c r="C10" s="14" t="s">
        <v>61</v>
      </c>
      <c r="D10" s="13" t="s">
        <v>62</v>
      </c>
      <c r="E10" s="13" t="s">
        <v>3</v>
      </c>
      <c r="F10" s="13" t="s">
        <v>63</v>
      </c>
      <c r="G10" s="14" t="s">
        <v>64</v>
      </c>
      <c r="H10" s="14" t="s">
        <v>65</v>
      </c>
      <c r="I10" s="13" t="s">
        <v>37</v>
      </c>
      <c r="J10" s="13" t="s">
        <v>38</v>
      </c>
      <c r="K10" s="15" t="s">
        <v>39</v>
      </c>
      <c r="L10" s="14"/>
    </row>
  </sheetData>
  <autoFilter ref="A4:L10"/>
  <conditionalFormatting sqref="E5:E10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10" r:id="rId4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66</v>
      </c>
    </row>
    <row r="2" customFormat="false" ht="15" hidden="false" customHeight="false" outlineLevel="0" collapsed="false">
      <c r="A2" s="10" t="s">
        <v>17</v>
      </c>
    </row>
    <row r="4" customFormat="false" ht="25.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</row>
    <row r="5" customFormat="false" ht="15" hidden="false" customHeight="false" outlineLevel="0" collapsed="false">
      <c r="A5" s="11" t="s">
        <v>41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57.45" hidden="false" customHeight="false" outlineLevel="0" collapsed="false">
      <c r="A6" s="13" t="n">
        <v>1</v>
      </c>
      <c r="B6" s="14" t="s">
        <v>67</v>
      </c>
      <c r="C6" s="14" t="s">
        <v>68</v>
      </c>
      <c r="D6" s="13" t="s">
        <v>69</v>
      </c>
      <c r="E6" s="13" t="s">
        <v>3</v>
      </c>
      <c r="F6" s="13" t="s">
        <v>70</v>
      </c>
      <c r="G6" s="14" t="s">
        <v>35</v>
      </c>
      <c r="H6" s="14" t="s">
        <v>71</v>
      </c>
      <c r="I6" s="13" t="s">
        <v>72</v>
      </c>
      <c r="J6" s="13" t="s">
        <v>38</v>
      </c>
      <c r="K6" s="15" t="s">
        <v>39</v>
      </c>
      <c r="L6" s="14" t="s">
        <v>73</v>
      </c>
    </row>
    <row r="7" customFormat="false" ht="57.45" hidden="false" customHeight="false" outlineLevel="0" collapsed="false">
      <c r="A7" s="13" t="n">
        <v>2</v>
      </c>
      <c r="B7" s="14" t="s">
        <v>74</v>
      </c>
      <c r="C7" s="14" t="s">
        <v>75</v>
      </c>
      <c r="D7" s="13" t="s">
        <v>76</v>
      </c>
      <c r="E7" s="13" t="s">
        <v>3</v>
      </c>
      <c r="F7" s="13" t="s">
        <v>56</v>
      </c>
      <c r="G7" s="14" t="s">
        <v>35</v>
      </c>
      <c r="H7" s="14" t="s">
        <v>77</v>
      </c>
      <c r="I7" s="13" t="s">
        <v>37</v>
      </c>
      <c r="J7" s="13" t="s">
        <v>38</v>
      </c>
      <c r="K7" s="15" t="s">
        <v>39</v>
      </c>
      <c r="L7" s="14"/>
    </row>
    <row r="8" customFormat="false" ht="15" hidden="false" customHeight="false" outlineLevel="0" collapsed="false">
      <c r="A8" s="11" t="s">
        <v>59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57.45" hidden="false" customHeight="false" outlineLevel="0" collapsed="false">
      <c r="A9" s="13" t="n">
        <v>3</v>
      </c>
      <c r="B9" s="14" t="s">
        <v>60</v>
      </c>
      <c r="C9" s="14" t="s">
        <v>78</v>
      </c>
      <c r="D9" s="13" t="s">
        <v>62</v>
      </c>
      <c r="E9" s="13" t="s">
        <v>3</v>
      </c>
      <c r="F9" s="13" t="s">
        <v>79</v>
      </c>
      <c r="G9" s="14" t="s">
        <v>80</v>
      </c>
      <c r="H9" s="14" t="s">
        <v>81</v>
      </c>
      <c r="I9" s="13" t="s">
        <v>37</v>
      </c>
      <c r="J9" s="13" t="s">
        <v>38</v>
      </c>
      <c r="K9" s="15" t="s">
        <v>39</v>
      </c>
      <c r="L9" s="14"/>
    </row>
    <row r="10" customFormat="false" ht="46.25" hidden="false" customHeight="false" outlineLevel="0" collapsed="false">
      <c r="A10" s="13" t="n">
        <v>4</v>
      </c>
      <c r="B10" s="14" t="s">
        <v>60</v>
      </c>
      <c r="C10" s="14" t="s">
        <v>82</v>
      </c>
      <c r="D10" s="13" t="s">
        <v>62</v>
      </c>
      <c r="E10" s="13" t="s">
        <v>3</v>
      </c>
      <c r="F10" s="13" t="s">
        <v>79</v>
      </c>
      <c r="G10" s="14" t="s">
        <v>83</v>
      </c>
      <c r="H10" s="14" t="s">
        <v>84</v>
      </c>
      <c r="I10" s="13" t="s">
        <v>37</v>
      </c>
      <c r="J10" s="13" t="s">
        <v>38</v>
      </c>
      <c r="K10" s="15" t="s">
        <v>39</v>
      </c>
      <c r="L10" s="14"/>
    </row>
    <row r="11" customFormat="false" ht="15" hidden="false" customHeight="false" outlineLevel="0" collapsed="false">
      <c r="A11" s="11" t="s">
        <v>30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customFormat="false" ht="23.85" hidden="false" customHeight="false" outlineLevel="0" collapsed="false">
      <c r="A12" s="13" t="n">
        <v>5</v>
      </c>
      <c r="B12" s="14" t="s">
        <v>85</v>
      </c>
      <c r="C12" s="14" t="s">
        <v>86</v>
      </c>
      <c r="D12" s="13" t="s">
        <v>87</v>
      </c>
      <c r="E12" s="13" t="s">
        <v>3</v>
      </c>
      <c r="F12" s="13" t="s">
        <v>45</v>
      </c>
      <c r="G12" s="14" t="s">
        <v>46</v>
      </c>
      <c r="H12" s="14" t="s">
        <v>88</v>
      </c>
      <c r="I12" s="13" t="s">
        <v>48</v>
      </c>
      <c r="J12" s="13" t="s">
        <v>89</v>
      </c>
      <c r="K12" s="15" t="s">
        <v>39</v>
      </c>
      <c r="L12" s="14"/>
    </row>
  </sheetData>
  <autoFilter ref="A4:L12"/>
  <conditionalFormatting sqref="E5:E12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9" r:id="rId3" display="Apply ↗"/>
    <hyperlink ref="K10" r:id="rId4" display="Apply ↗"/>
    <hyperlink ref="K12" r:id="rId5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9" t="s">
        <v>90</v>
      </c>
    </row>
    <row r="2" customFormat="false" ht="15" hidden="false" customHeight="false" outlineLevel="0" collapsed="false">
      <c r="A2" s="10" t="s">
        <v>91</v>
      </c>
    </row>
    <row r="4" customFormat="false" ht="25.5" hidden="false" customHeight="true" outlineLevel="0" collapsed="false">
      <c r="A4" s="3" t="s">
        <v>18</v>
      </c>
      <c r="B4" s="3" t="s">
        <v>92</v>
      </c>
      <c r="C4" s="3" t="s">
        <v>20</v>
      </c>
      <c r="D4" s="3" t="s">
        <v>24</v>
      </c>
      <c r="E4" s="3" t="s">
        <v>93</v>
      </c>
      <c r="F4" s="3" t="s">
        <v>27</v>
      </c>
      <c r="G4" s="3" t="s">
        <v>94</v>
      </c>
      <c r="H4" s="3" t="s">
        <v>29</v>
      </c>
    </row>
    <row r="5" customFormat="false" ht="15" hidden="false" customHeight="false" outlineLevel="0" collapsed="false">
      <c r="A5" s="11" t="s">
        <v>95</v>
      </c>
      <c r="B5" s="12"/>
      <c r="C5" s="12"/>
      <c r="D5" s="12"/>
      <c r="E5" s="12"/>
      <c r="F5" s="12"/>
      <c r="G5" s="12"/>
      <c r="H5" s="12"/>
    </row>
    <row r="6" customFormat="false" ht="23.85" hidden="false" customHeight="false" outlineLevel="0" collapsed="false">
      <c r="A6" s="13" t="n">
        <v>1</v>
      </c>
      <c r="B6" s="13" t="s">
        <v>96</v>
      </c>
      <c r="C6" s="14" t="s">
        <v>97</v>
      </c>
      <c r="D6" s="13" t="s">
        <v>98</v>
      </c>
      <c r="E6" s="13" t="s">
        <v>99</v>
      </c>
      <c r="F6" s="13" t="s">
        <v>38</v>
      </c>
      <c r="G6" s="15" t="s">
        <v>39</v>
      </c>
      <c r="H6" s="14" t="s">
        <v>100</v>
      </c>
    </row>
  </sheetData>
  <autoFilter ref="A4:H6"/>
  <hyperlinks>
    <hyperlink ref="G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2026-10-27T04:55:26Z</dcterms:created>
  <dc:creator>openpyxl</dc:creator>
  <dc:description/>
  <dc:language>en-US</dc:language>
  <cp:lastModifiedBy/>
  <dcterms:modified xsi:type="dcterms:W3CDTF">2026-10-27T04:55:26Z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