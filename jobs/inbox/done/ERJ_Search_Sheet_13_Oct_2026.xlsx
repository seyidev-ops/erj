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ustomer Support" sheetId="2" state="visible" r:id="rId4"/>
    <sheet name="VA &amp; Admin" sheetId="3" state="visible" r:id="rId5"/>
    <sheet name="HR &amp; Legal" sheetId="4" state="visible" r:id="rId6"/>
    <sheet name="Tech &amp; Operations" sheetId="5" state="visible" r:id="rId7"/>
    <sheet name="micro1 Referral" sheetId="6" state="visible" r:id="rId8"/>
  </sheets>
  <definedNames>
    <definedName function="false" hidden="false" localSheetId="1" name="_xlnm.Print_Area" vbProcedure="false">'Customer Support'!$A$1:$L$6</definedName>
    <definedName function="false" hidden="true" localSheetId="1" name="_xlnm._FilterDatabase" vbProcedure="false">'Customer Support'!$A$4:$L$6</definedName>
    <definedName function="false" hidden="false" localSheetId="3" name="_xlnm.Print_Area" vbProcedure="false">'HR &amp; Legal'!$A$1:$L$6</definedName>
    <definedName function="false" hidden="true" localSheetId="3" name="_xlnm._FilterDatabase" vbProcedure="false">'HR &amp; Legal'!$A$4:$L$6</definedName>
    <definedName function="false" hidden="false" localSheetId="5" name="_xlnm.Print_Area" vbProcedure="false">'micro1 Referral'!$A$1:$H$12</definedName>
    <definedName function="false" hidden="true" localSheetId="5" name="_xlnm._FilterDatabase" vbProcedure="false">'micro1 Referral'!$A$4:$H$12</definedName>
    <definedName function="false" hidden="false" localSheetId="4" name="_xlnm.Print_Area" vbProcedure="false">'Tech &amp; Operations'!$A$1:$L$9</definedName>
    <definedName function="false" hidden="true" localSheetId="4" name="_xlnm._FilterDatabase" vbProcedure="false">'Tech &amp; Operations'!$A$4:$L$9</definedName>
    <definedName function="false" hidden="false" localSheetId="2" name="_xlnm.Print_Area" vbProcedure="false">'VA &amp; Admin'!$A$1:$L$6</definedName>
    <definedName function="false" hidden="true" localSheetId="2" name="_xlnm._FilterDatabase" vbProcedure="false">'VA &amp; Admin'!$A$4:$L$6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<sst xmlns="http://schemas.openxmlformats.org/spreadsheetml/2006/main" count="189" uniqueCount="107">
  <si>
    <t xml:space="preserve">ERJ Remote Job Search Sheet — 13 Oct 2026</t>
  </si>
  <si>
    <t xml:space="preserve">Posted 10–13 Oct 2026 (after the 10 Oct sheet) · fully remote · open to people living in Nigeria · nothing from any earlier ERJ sheet</t>
  </si>
  <si>
    <t xml:space="preserve">Tab</t>
  </si>
  <si>
    <t xml:space="preserve">Open — Nigeria eligible</t>
  </si>
  <si>
    <t xml:space="preserve">Check before applying</t>
  </si>
  <si>
    <t xml:space="preserve">Total</t>
  </si>
  <si>
    <t xml:space="preserve">Customer Support</t>
  </si>
  <si>
    <t xml:space="preserve">VA &amp; Admin</t>
  </si>
  <si>
    <t xml:space="preserve">HR &amp; Legal</t>
  </si>
  <si>
    <t xml:space="preserve">Tech &amp; Operations</t>
  </si>
  <si>
    <t xml:space="preserve">micro1 Referral</t>
  </si>
  <si>
    <t xml:space="preserve">Notes</t>
  </si>
  <si>
    <t xml:space="preserve">• Rule used: the posting names Nigeria, Africa-wide, or worldwide/anywhere. EMEA-only and plain "Remote" roles were left out, matching the job board rule.</t>
  </si>
  <si>
    <t xml:space="preserve">• Checked free company job lists (Greenhouse, Lever, Ashby, Breezy, Workable) for every company on the board config, plus the micro1 referral list and a few web searches. Most companies posted nothing new for Nigeria between 10 and 13 Oct.</t>
  </si>
  <si>
    <t xml:space="preserve">• Left out: Canonical Product Marketing Lead (EMEA only), Clera (on-site in US/Europe), TalentPop CX Manager (Nigeria not listed), Social Discovery SRE (Russian required), micro1 US-government, Medicare, passport and physician roles, Spanish-language roles, and Mercor roles that say only "Remote".</t>
  </si>
  <si>
    <t xml:space="preserve">• Languages (Yoruba / Igbo / Hausa): no new openings found since 8 Oct; the 8 Oct roles are still the ones to share.</t>
  </si>
  <si>
    <t xml:space="preserve">Customer Support — new remote roles open to Nigeria (13 Oct 2026)</t>
  </si>
  <si>
    <t xml:space="preserve">From company career pages (Ashby, Greenhouse, Lever, Workable) and official teaching platforms. Nothing here appears on any earlier ERJ sheet.</t>
  </si>
  <si>
    <t xml:space="preserve">#</t>
  </si>
  <si>
    <t xml:space="preserve">Who can apply</t>
  </si>
  <si>
    <t xml:space="preserve">Role</t>
  </si>
  <si>
    <t xml:space="preserve">Company</t>
  </si>
  <si>
    <t xml:space="preserve">Status</t>
  </si>
  <si>
    <t xml:space="preserve">Level</t>
  </si>
  <si>
    <t xml:space="preserve">Pay (as listed)</t>
  </si>
  <si>
    <t xml:space="preserve">Key requirements</t>
  </si>
  <si>
    <t xml:space="preserve">ATS</t>
  </si>
  <si>
    <t xml:space="preserve">Posted</t>
  </si>
  <si>
    <t xml:space="preserve">Apply link</t>
  </si>
  <si>
    <t xml:space="preserve">Note</t>
  </si>
  <si>
    <t xml:space="preserve">▸ Worldwide / global</t>
  </si>
  <si>
    <t xml:space="preserve">Anyone, any country (region preference: None)</t>
  </si>
  <si>
    <t xml:space="preserve">Amazon Customer Service Virtual Assistant — CPT-11421</t>
  </si>
  <si>
    <t xml:space="preserve">20four7VA</t>
  </si>
  <si>
    <t xml:space="preserve">Mid-level</t>
  </si>
  <si>
    <t xml:space="preserve">Competitive, paid weekly (rate not stated)</t>
  </si>
  <si>
    <t xml:space="preserve">Customer service / email support or VA experience (Amazon seller or ecommerce preferred); strong written English; Windows 10/11 Pro PC, i7, 16GB RAM, 75Mbps+ internet</t>
  </si>
  <si>
    <t xml:space="preserve">Breezy HR</t>
  </si>
  <si>
    <t xml:space="preserve">12 Oct 2026</t>
  </si>
  <si>
    <t xml:space="preserve">Apply ↗</t>
  </si>
  <si>
    <t xml:space="preserve">Part-time 24 hrs/week, CST evenings (Mon/Tue/Fri 7–11pm) + weekends 11am–5pm; 1–2 weeks daytime training</t>
  </si>
  <si>
    <t xml:space="preserve">VA &amp; Admin — new remote roles open to Nigeria (13 Oct 2026)</t>
  </si>
  <si>
    <t xml:space="preserve">Anyone, any country (region preference: Any)</t>
  </si>
  <si>
    <t xml:space="preserve">Real Estate Investment Research &amp; Administrative Virtual Assistant — CPT-11611</t>
  </si>
  <si>
    <t xml:space="preserve">EA/admin, research or data-management experience; strong Excel/Google Sheets; phone skills; native/near-native English (accent A–B); PropStream/data scraping a plus</t>
  </si>
  <si>
    <t xml:space="preserve">Part-time 10 hrs/week, Mon–Fri evening EST; no real-estate experience required</t>
  </si>
  <si>
    <t xml:space="preserve">HR &amp; Legal — new remote roles open to Nigeria (13 Oct 2026)</t>
  </si>
  <si>
    <t xml:space="preserve">Anywhere in the world — "we never place restrictions on location"</t>
  </si>
  <si>
    <t xml:space="preserve">General Counsel</t>
  </si>
  <si>
    <t xml:space="preserve">Todoist (Doist)</t>
  </si>
  <si>
    <t xml:space="preserve">Senior</t>
  </si>
  <si>
    <t xml:space="preserve">Not listed</t>
  </si>
  <si>
    <t xml:space="preserve">Experienced in-house lawyer; fully remote, async company</t>
  </si>
  <si>
    <t xml:space="preserve">Ashby</t>
  </si>
  <si>
    <t xml:space="preserve">12 Oct</t>
  </si>
  <si>
    <t xml:space="preserve">Tech &amp; Operations — new remote roles open to Nigeria (13 Oct 2026)</t>
  </si>
  <si>
    <t xml:space="preserve">Global, Remote (work hours between UTC+2 and UTC-8; Nigeria fits)</t>
  </si>
  <si>
    <t xml:space="preserve">AI Enablement Manager</t>
  </si>
  <si>
    <t xml:space="preserve">Epoch AI</t>
  </si>
  <si>
    <t xml:space="preserve">$125k–155k/yr (paid in local currency)</t>
  </si>
  <si>
    <t xml:space="preserve">Hands-on AI/coding-agent experience; build internal AI tools; 3 in-person retreats a year (travel paid)</t>
  </si>
  <si>
    <t xml:space="preserve">Lever</t>
  </si>
  <si>
    <t xml:space="preserve">Worldwide (listing: Worldwide / Georgia / Armenia / Serbia / Poland — Remote (any))</t>
  </si>
  <si>
    <t xml:space="preserve">Lead Software Engineer (.NET)</t>
  </si>
  <si>
    <t xml:space="preserve">Social Discovery Group</t>
  </si>
  <si>
    <t xml:space="preserve">Lead / Manager</t>
  </si>
  <si>
    <t xml:space="preserve">Not disclosed (shared during recruitment)</t>
  </si>
  <si>
    <t xml:space="preserve">C#, .NET 8, ASP.NET Core; microservices, REST, RabbitMQ; PostgreSQL/MS SQL/Redis; Docker/Kubernetes; legacy modernisation; team management (1:1s, reviews); Jira delivery</t>
  </si>
  <si>
    <t xml:space="preserve">Full-time; 28 vacation days + 7 wellness days; no non-English language requirement</t>
  </si>
  <si>
    <t xml:space="preserve">▸ Nigeria-based remote</t>
  </si>
  <si>
    <t xml:space="preserve">Nigeria (fully remote)</t>
  </si>
  <si>
    <t xml:space="preserve">Senior PHP/Laravel Developer (Infrastructure &amp; DevOps)</t>
  </si>
  <si>
    <t xml:space="preserve">Jobgether (partner company)</t>
  </si>
  <si>
    <t xml:space="preserve">8+ yrs</t>
  </si>
  <si>
    <t xml:space="preserve">PHP/Laravel + PostgreSQL; Linux, containers, CI/CD (Jenkins); Proxmox/Ceph/ZFS a plus</t>
  </si>
  <si>
    <t xml:space="preserve">micro1 — new roles on your referral link (13 Oct 2026)</t>
  </si>
  <si>
    <t xml:space="preserve">Every "Apply ↗" opens that exact micro1 job with your referral code built in, so applications are credited to you. Remote AI-training / expert contracts; country eligibility is confirmed during micro1 application.</t>
  </si>
  <si>
    <t xml:space="preserve">Field</t>
  </si>
  <si>
    <t xml:space="preserve">Pay (per hour, as listed)</t>
  </si>
  <si>
    <t xml:space="preserve">Openings</t>
  </si>
  <si>
    <t xml:space="preserve">Apply via referral</t>
  </si>
  <si>
    <t xml:space="preserve">▸ Software &amp; Data</t>
  </si>
  <si>
    <t xml:space="preserve">Software &amp; Data</t>
  </si>
  <si>
    <t xml:space="preserve">Junior Data Scientist</t>
  </si>
  <si>
    <t xml:space="preserve">$150–200/hr</t>
  </si>
  <si>
    <t xml:space="preserve">100</t>
  </si>
  <si>
    <t xml:space="preserve">Python, ML, statistics</t>
  </si>
  <si>
    <t xml:space="preserve">Junior Software Engineer</t>
  </si>
  <si>
    <t xml:space="preserve">System design, code review, debugging</t>
  </si>
  <si>
    <t xml:space="preserve">Competitive Data Scientist</t>
  </si>
  <si>
    <t xml:space="preserve">$60–120/hr</t>
  </si>
  <si>
    <t xml:space="preserve">50</t>
  </si>
  <si>
    <t xml:space="preserve">ML engineering, maths</t>
  </si>
  <si>
    <t xml:space="preserve">▸ AI Training &amp; Admin</t>
  </si>
  <si>
    <t xml:space="preserve">AI Training &amp; Admin</t>
  </si>
  <si>
    <t xml:space="preserve">Data Privacy Analyst</t>
  </si>
  <si>
    <t xml:space="preserve">$31–60/hr</t>
  </si>
  <si>
    <t xml:space="preserve">60</t>
  </si>
  <si>
    <t xml:space="preserve">10 Oct</t>
  </si>
  <si>
    <t xml:space="preserve">PII, document review, attention to detail</t>
  </si>
  <si>
    <t xml:space="preserve">▸ Finance</t>
  </si>
  <si>
    <t xml:space="preserve">Finance</t>
  </si>
  <si>
    <t xml:space="preserve">Data Partnerships Manager</t>
  </si>
  <si>
    <t xml:space="preserve">$20–30/hr</t>
  </si>
  <si>
    <t xml:space="preserve">1</t>
  </si>
  <si>
    <t xml:space="preserve">13 Oct</t>
  </si>
  <si>
    <t xml:space="preserve">Negotiation, prospecting, closing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</si>
</sst>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B23A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DE3D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3E3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11111"/>
          <bgColor rgb="FF000000"/>
        </patternFill>
      </fill>
    </dxf>
    <dxf>
      <fill>
        <patternFill patternType="solid">
          <fgColor rgb="FFFDE3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23A1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FF3E4"/>
          <bgColor rgb="FF000000"/>
        </patternFill>
      </fill>
    </dxf>
    <dxf>
      <fill>
        <patternFill patternType="solid">
          <fgColor rgb="FF1E6B34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ont>
        <name val="Arial"/>
        <charset val="1"/>
        <family val="0"/>
        <b val="1"/>
        <color rgb="FF1E6B34"/>
      </font>
      <fill>
        <patternFill>
          <bgColor rgb="FFDFF3E4"/>
        </patternFill>
      </fill>
    </dxf>
    <dxf>
      <font>
        <name val="Arial"/>
        <charset val="1"/>
        <family val="0"/>
        <color rgb="FF7A5B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4"/>
      <rgbColor rgb="FF000080"/>
      <rgbColor rgb="FF7A5B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3E4"/>
      <rgbColor rgb="FFFFFF99"/>
      <rgbColor rgb="FF99CCFF"/>
      <rgbColor rgb="FFFF99CC"/>
      <rgbColor rgb="FFCC99FF"/>
      <rgbColor rgb="FFFDE3D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11111"/>
      <rgbColor rgb="FF333300"/>
      <rgbColor rgb="FFB23A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ERJ_Search_Sheet_13_Oct_2026.xlsx" TargetMode="External"/><Relationship Id="rId2" Type="http://schemas.openxmlformats.org/officeDocument/2006/relationships/hyperlink" Target="ERJ_Search_Sheet_13_Oct_2026.xlsx" TargetMode="External"/><Relationship Id="rId3" Type="http://schemas.openxmlformats.org/officeDocument/2006/relationships/hyperlink" Target="ERJ_Search_Sheet_13_Oct_2026.xlsx" TargetMode="External"/><Relationship Id="rId4" Type="http://schemas.openxmlformats.org/officeDocument/2006/relationships/hyperlink" Target="ERJ_Search_Sheet_13_Oct_2026.xlsx" TargetMode="External"/><Relationship Id="rId5" Type="http://schemas.openxmlformats.org/officeDocument/2006/relationships/hyperlink" Target="ERJ_Search_Sheet_13_Oct_2026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20four7va.breezy.hr/p/c78f6be8ed9d-cpt-11421-amazon-customer-service-virtual-assistant" TargetMode="External"/><Relationship Id="rId2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20four7va.breezy.hr/p/ded2426643b1-cpt-11611-real-estate-investment-research-administrative-virtual-assistant" TargetMode="External"/><Relationship Id="rId2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jobs.ashbyhq.com/todoist-inc/464709c2-75ab-46d3-a416-6b91e8ca8b7f" TargetMode="External"/><Relationship Id="rId2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jobs.lever.co/epoch-ai/1d8d2e53-1ee7-492e-8f02-f8b52ef19cca" TargetMode="External"/><Relationship Id="rId2" Type="http://schemas.openxmlformats.org/officeDocument/2006/relationships/hyperlink" Target="https://social-discovery-ventures.breezy.hr/p/6142d81c78a101-lead-software-engineer-net" TargetMode="External"/><Relationship Id="rId3" Type="http://schemas.openxmlformats.org/officeDocument/2006/relationships/hyperlink" Target="https://jobs.lever.co/jobgether/2dbbf0c1-c14e-4cb9-8d74-4efcb983644a" TargetMode="External"/><Relationship Id="rId4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jobs.micro1.ai/post/622203dd-c0fa-49fc-aae4-6bd742196597?referralCode=d3605f74-92f0-4f1c-b8e2-4ab757bffc26" TargetMode="External"/><Relationship Id="rId2" Type="http://schemas.openxmlformats.org/officeDocument/2006/relationships/hyperlink" Target="https://jobs.micro1.ai/post/29ba0d51-2d9f-412e-ad19-5f28a76ca96e?referralCode=d3605f74-92f0-4f1c-b8e2-4ab757bffc26" TargetMode="External"/><Relationship Id="rId3" Type="http://schemas.openxmlformats.org/officeDocument/2006/relationships/hyperlink" Target="https://jobs.micro1.ai/post/0406acdc-9e38-4f22-a8b5-9e9e228c9bb1?referralCode=d3605f74-92f0-4f1c-b8e2-4ab757bffc26" TargetMode="External"/><Relationship Id="rId4" Type="http://schemas.openxmlformats.org/officeDocument/2006/relationships/hyperlink" Target="https://jobs.micro1.ai/post/7a01eddd-bc92-4e27-b90f-404fa393c5d8?referralCode=d3605f74-92f0-4f1c-b8e2-4ab757bffc26" TargetMode="External"/><Relationship Id="rId5" Type="http://schemas.openxmlformats.org/officeDocument/2006/relationships/hyperlink" Target="https://jobs.micro1.ai/post/b01d7c4a-6042-40be-aaef-01d09029d27e?referralCode=d3605f74-92f0-4f1c-b8e2-4ab757bffc26" TargetMode="External"/><Relationship Id="rId6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COUNTIF('Customer Support'!$E$5:$E$6,"Open*")</f>
        <v>1</v>
      </c>
      <c r="C5" s="5" t="n">
        <f aca="false">COUNTIF('Customer Support'!$E$5:$E$6,"Check*")</f>
        <v>0</v>
      </c>
      <c r="D5" s="5" t="n">
        <f aca="false">B5+C5</f>
        <v>1</v>
      </c>
    </row>
    <row r="6" customFormat="false" ht="15" hidden="false" customHeight="false" outlineLevel="0" collapsed="false">
      <c r="A6" s="4" t="s">
        <v>7</v>
      </c>
      <c r="B6" s="5" t="n">
        <f aca="false">COUNTIF('VA &amp; Admin'!$E$5:$E$6,"Open*")</f>
        <v>1</v>
      </c>
      <c r="C6" s="5" t="n">
        <f aca="false">COUNTIF('VA &amp; Admin'!$E$5:$E$6,"Check*")</f>
        <v>0</v>
      </c>
      <c r="D6" s="5" t="n">
        <f aca="false">B6+C6</f>
        <v>1</v>
      </c>
    </row>
    <row r="7" customFormat="false" ht="15" hidden="false" customHeight="false" outlineLevel="0" collapsed="false">
      <c r="A7" s="4" t="s">
        <v>8</v>
      </c>
      <c r="B7" s="5" t="n">
        <f aca="false">COUNTIF('HR &amp; Legal'!$E$5:$E$6,"Open*")</f>
        <v>1</v>
      </c>
      <c r="C7" s="5" t="n">
        <f aca="false">COUNTIF('HR &amp; Legal'!$E$5:$E$6,"Check*")</f>
        <v>0</v>
      </c>
      <c r="D7" s="5" t="n">
        <f aca="false">B7+C7</f>
        <v>1</v>
      </c>
    </row>
    <row r="8" customFormat="false" ht="15" hidden="false" customHeight="false" outlineLevel="0" collapsed="false">
      <c r="A8" s="4" t="s">
        <v>9</v>
      </c>
      <c r="B8" s="5" t="n">
        <f aca="false">COUNTIF('Tech &amp; Operations'!$E$5:$E$9,"Open*")</f>
        <v>3</v>
      </c>
      <c r="C8" s="5" t="n">
        <f aca="false">COUNTIF('Tech &amp; Operations'!$E$5:$E$9,"Check*")</f>
        <v>0</v>
      </c>
      <c r="D8" s="5" t="n">
        <f aca="false">B8+C8</f>
        <v>3</v>
      </c>
    </row>
    <row r="9" customFormat="false" ht="15" hidden="false" customHeight="false" outlineLevel="0" collapsed="false">
      <c r="A9" s="4" t="s">
        <v>10</v>
      </c>
      <c r="B9" s="5" t="n">
        <f aca="false">COUNTA('micro1 Referral'!$C$5:$C$12)</f>
        <v>5</v>
      </c>
      <c r="C9" s="5" t="n">
        <v>0</v>
      </c>
      <c r="D9" s="5" t="n">
        <f aca="false">B9+C9</f>
        <v>5</v>
      </c>
    </row>
    <row r="10" customFormat="false" ht="15" hidden="false" customHeight="false" outlineLevel="0" collapsed="false">
      <c r="A10" s="6" t="s">
        <v>5</v>
      </c>
      <c r="B10" s="7" t="n">
        <f aca="false">SUM(B5:B9)</f>
        <v>11</v>
      </c>
      <c r="C10" s="7" t="n">
        <f aca="false">SUM(C5:C9)</f>
        <v>0</v>
      </c>
      <c r="D10" s="7" t="n">
        <f aca="false">SUM(D5:D9)</f>
        <v>11</v>
      </c>
    </row>
    <row r="12" customFormat="false" ht="15" hidden="false" customHeight="false" outlineLevel="0" collapsed="false">
      <c r="A12" s="8" t="s">
        <v>11</v>
      </c>
    </row>
    <row r="13" customFormat="false" ht="60" hidden="false" customHeight="true" outlineLevel="0" collapsed="false">
      <c r="A13" s="9" t="s">
        <v>12</v>
      </c>
      <c r="B13" s="9"/>
      <c r="C13" s="9"/>
      <c r="D13" s="9"/>
    </row>
    <row r="14" customFormat="false" ht="60" hidden="false" customHeight="true" outlineLevel="0" collapsed="false">
      <c r="A14" s="9" t="s">
        <v>13</v>
      </c>
      <c r="B14" s="9"/>
      <c r="C14" s="9"/>
      <c r="D14" s="9"/>
    </row>
    <row r="15" customFormat="false" ht="60" hidden="false" customHeight="true" outlineLevel="0" collapsed="false">
      <c r="A15" s="9" t="s">
        <v>14</v>
      </c>
      <c r="B15" s="9"/>
      <c r="C15" s="9"/>
      <c r="D15" s="9"/>
    </row>
    <row r="16" customFormat="false" ht="60" hidden="false" customHeight="true" outlineLevel="0" collapsed="false">
      <c r="A16" s="9" t="s">
        <v>15</v>
      </c>
      <c r="B16" s="9"/>
      <c r="C16" s="9"/>
      <c r="D16" s="9"/>
    </row>
  </sheetData>
  <mergeCells count="4">
    <mergeCell ref="A13:D13"/>
    <mergeCell ref="A14:D14"/>
    <mergeCell ref="A15:D15"/>
    <mergeCell ref="A16:D16"/>
  </mergeCells>
  <hyperlinks>
    <hyperlink ref="A5" r:id="rId1" location="'Customer%20Support'!A1" display="Customer Support"/>
    <hyperlink ref="A6" r:id="rId2" location="'VA%20&amp;%20Admin'!A1" display="VA &amp; Admin"/>
    <hyperlink ref="A7" r:id="rId3" location="'HR%20&amp;%20Legal'!A1" display="HR &amp; Legal"/>
    <hyperlink ref="A8" r:id="rId4" location="'Tech%20&amp;%20Operations'!A1" display="Tech &amp; Operations"/>
    <hyperlink ref="A9" r:id="rId5" location="'micro1%20Referral'!A1" display="micro1 Referra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8"/>
  </cols>
  <sheetData>
    <row r="1" customFormat="false" ht="17.35" hidden="false" customHeight="false" outlineLevel="0" collapsed="false">
      <c r="A1" s="10" t="s">
        <v>16</v>
      </c>
    </row>
    <row r="2" customFormat="false" ht="15" hidden="false" customHeight="false" outlineLevel="0" collapsed="false">
      <c r="A2" s="11" t="s">
        <v>17</v>
      </c>
    </row>
    <row r="4" customFormat="false" ht="25.5" hidden="false" customHeight="true" outlineLevel="0" collapsed="false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3" t="s">
        <v>29</v>
      </c>
    </row>
    <row r="5" customFormat="false" ht="15" hidden="false" customHeight="false" outlineLevel="0" collapsed="false">
      <c r="A5" s="12" t="s">
        <v>30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customFormat="false" ht="46.25" hidden="false" customHeight="false" outlineLevel="0" collapsed="false">
      <c r="A6" s="14" t="n">
        <v>1</v>
      </c>
      <c r="B6" s="15" t="s">
        <v>31</v>
      </c>
      <c r="C6" s="15" t="s">
        <v>32</v>
      </c>
      <c r="D6" s="14" t="s">
        <v>33</v>
      </c>
      <c r="E6" s="14" t="s">
        <v>3</v>
      </c>
      <c r="F6" s="14" t="s">
        <v>34</v>
      </c>
      <c r="G6" s="15" t="s">
        <v>35</v>
      </c>
      <c r="H6" s="15" t="s">
        <v>36</v>
      </c>
      <c r="I6" s="14" t="s">
        <v>37</v>
      </c>
      <c r="J6" s="14" t="s">
        <v>38</v>
      </c>
      <c r="K6" s="16" t="s">
        <v>39</v>
      </c>
      <c r="L6" s="15" t="s">
        <v>40</v>
      </c>
    </row>
  </sheetData>
  <autoFilter ref="A4:L6"/>
  <conditionalFormatting sqref="E5:E6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8"/>
  </cols>
  <sheetData>
    <row r="1" customFormat="false" ht="17.35" hidden="false" customHeight="false" outlineLevel="0" collapsed="false">
      <c r="A1" s="10" t="s">
        <v>41</v>
      </c>
    </row>
    <row r="2" customFormat="false" ht="15" hidden="false" customHeight="false" outlineLevel="0" collapsed="false">
      <c r="A2" s="11" t="s">
        <v>17</v>
      </c>
    </row>
    <row r="4" customFormat="false" ht="25.5" hidden="false" customHeight="true" outlineLevel="0" collapsed="false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3" t="s">
        <v>29</v>
      </c>
    </row>
    <row r="5" customFormat="false" ht="15" hidden="false" customHeight="false" outlineLevel="0" collapsed="false">
      <c r="A5" s="12" t="s">
        <v>30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customFormat="false" ht="46.25" hidden="false" customHeight="false" outlineLevel="0" collapsed="false">
      <c r="A6" s="14" t="n">
        <v>1</v>
      </c>
      <c r="B6" s="15" t="s">
        <v>42</v>
      </c>
      <c r="C6" s="15" t="s">
        <v>43</v>
      </c>
      <c r="D6" s="14" t="s">
        <v>33</v>
      </c>
      <c r="E6" s="14" t="s">
        <v>3</v>
      </c>
      <c r="F6" s="14" t="s">
        <v>34</v>
      </c>
      <c r="G6" s="15" t="s">
        <v>35</v>
      </c>
      <c r="H6" s="15" t="s">
        <v>44</v>
      </c>
      <c r="I6" s="14" t="s">
        <v>37</v>
      </c>
      <c r="J6" s="14" t="s">
        <v>38</v>
      </c>
      <c r="K6" s="16" t="s">
        <v>39</v>
      </c>
      <c r="L6" s="15" t="s">
        <v>45</v>
      </c>
    </row>
  </sheetData>
  <autoFilter ref="A4:L6"/>
  <conditionalFormatting sqref="E5:E6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8"/>
  </cols>
  <sheetData>
    <row r="1" customFormat="false" ht="17.35" hidden="false" customHeight="false" outlineLevel="0" collapsed="false">
      <c r="A1" s="10" t="s">
        <v>46</v>
      </c>
    </row>
    <row r="2" customFormat="false" ht="15" hidden="false" customHeight="false" outlineLevel="0" collapsed="false">
      <c r="A2" s="11" t="s">
        <v>17</v>
      </c>
    </row>
    <row r="4" customFormat="false" ht="25.5" hidden="false" customHeight="true" outlineLevel="0" collapsed="false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3" t="s">
        <v>29</v>
      </c>
    </row>
    <row r="5" customFormat="false" ht="15" hidden="false" customHeight="false" outlineLevel="0" collapsed="false">
      <c r="A5" s="12" t="s">
        <v>30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customFormat="false" ht="35.05" hidden="false" customHeight="false" outlineLevel="0" collapsed="false">
      <c r="A6" s="14" t="n">
        <v>1</v>
      </c>
      <c r="B6" s="15" t="s">
        <v>47</v>
      </c>
      <c r="C6" s="15" t="s">
        <v>48</v>
      </c>
      <c r="D6" s="14" t="s">
        <v>49</v>
      </c>
      <c r="E6" s="14" t="s">
        <v>3</v>
      </c>
      <c r="F6" s="14" t="s">
        <v>50</v>
      </c>
      <c r="G6" s="15" t="s">
        <v>51</v>
      </c>
      <c r="H6" s="15" t="s">
        <v>52</v>
      </c>
      <c r="I6" s="14" t="s">
        <v>53</v>
      </c>
      <c r="J6" s="14" t="s">
        <v>54</v>
      </c>
      <c r="K6" s="16" t="s">
        <v>39</v>
      </c>
      <c r="L6" s="15"/>
    </row>
  </sheetData>
  <autoFilter ref="A4:L6"/>
  <conditionalFormatting sqref="E5:E6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8"/>
  </cols>
  <sheetData>
    <row r="1" customFormat="false" ht="17.35" hidden="false" customHeight="false" outlineLevel="0" collapsed="false">
      <c r="A1" s="10" t="s">
        <v>55</v>
      </c>
    </row>
    <row r="2" customFormat="false" ht="15" hidden="false" customHeight="false" outlineLevel="0" collapsed="false">
      <c r="A2" s="11" t="s">
        <v>17</v>
      </c>
    </row>
    <row r="4" customFormat="false" ht="25.5" hidden="false" customHeight="true" outlineLevel="0" collapsed="false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3" t="s">
        <v>29</v>
      </c>
    </row>
    <row r="5" customFormat="false" ht="15" hidden="false" customHeight="false" outlineLevel="0" collapsed="false">
      <c r="A5" s="12" t="s">
        <v>30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customFormat="false" ht="35.05" hidden="false" customHeight="false" outlineLevel="0" collapsed="false">
      <c r="A6" s="14" t="n">
        <v>1</v>
      </c>
      <c r="B6" s="15" t="s">
        <v>56</v>
      </c>
      <c r="C6" s="15" t="s">
        <v>57</v>
      </c>
      <c r="D6" s="14" t="s">
        <v>58</v>
      </c>
      <c r="E6" s="14" t="s">
        <v>3</v>
      </c>
      <c r="F6" s="14" t="s">
        <v>50</v>
      </c>
      <c r="G6" s="15" t="s">
        <v>59</v>
      </c>
      <c r="H6" s="15" t="s">
        <v>60</v>
      </c>
      <c r="I6" s="14" t="s">
        <v>61</v>
      </c>
      <c r="J6" s="14" t="s">
        <v>54</v>
      </c>
      <c r="K6" s="16" t="s">
        <v>39</v>
      </c>
      <c r="L6" s="15"/>
    </row>
    <row r="7" customFormat="false" ht="46.25" hidden="false" customHeight="false" outlineLevel="0" collapsed="false">
      <c r="A7" s="14" t="n">
        <v>2</v>
      </c>
      <c r="B7" s="15" t="s">
        <v>62</v>
      </c>
      <c r="C7" s="15" t="s">
        <v>63</v>
      </c>
      <c r="D7" s="14" t="s">
        <v>64</v>
      </c>
      <c r="E7" s="14" t="s">
        <v>3</v>
      </c>
      <c r="F7" s="14" t="s">
        <v>65</v>
      </c>
      <c r="G7" s="15" t="s">
        <v>66</v>
      </c>
      <c r="H7" s="15" t="s">
        <v>67</v>
      </c>
      <c r="I7" s="14" t="s">
        <v>37</v>
      </c>
      <c r="J7" s="14" t="s">
        <v>38</v>
      </c>
      <c r="K7" s="16" t="s">
        <v>39</v>
      </c>
      <c r="L7" s="15" t="s">
        <v>68</v>
      </c>
    </row>
    <row r="8" customFormat="false" ht="15" hidden="false" customHeight="false" outlineLevel="0" collapsed="false">
      <c r="A8" s="12" t="s">
        <v>69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customFormat="false" ht="23.85" hidden="false" customHeight="false" outlineLevel="0" collapsed="false">
      <c r="A9" s="14" t="n">
        <v>3</v>
      </c>
      <c r="B9" s="15" t="s">
        <v>70</v>
      </c>
      <c r="C9" s="15" t="s">
        <v>71</v>
      </c>
      <c r="D9" s="14" t="s">
        <v>72</v>
      </c>
      <c r="E9" s="14" t="s">
        <v>3</v>
      </c>
      <c r="F9" s="14" t="s">
        <v>73</v>
      </c>
      <c r="G9" s="15" t="s">
        <v>51</v>
      </c>
      <c r="H9" s="15" t="s">
        <v>74</v>
      </c>
      <c r="I9" s="14" t="s">
        <v>61</v>
      </c>
      <c r="J9" s="14" t="s">
        <v>54</v>
      </c>
      <c r="K9" s="16" t="s">
        <v>39</v>
      </c>
      <c r="L9" s="15"/>
    </row>
  </sheetData>
  <autoFilter ref="A4:L9"/>
  <conditionalFormatting sqref="E5:E9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  <hyperlink ref="K7" r:id="rId2" display="Apply ↗"/>
    <hyperlink ref="K9" r:id="rId3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8"/>
    <col collapsed="false" customWidth="true" hidden="false" outlineLevel="0" max="4" min="4" style="0" width="20"/>
    <col collapsed="false" customWidth="true" hidden="false" outlineLevel="0" max="6" min="5" style="0" width="10"/>
    <col collapsed="false" customWidth="true" hidden="false" outlineLevel="0" max="7" min="7" style="0" width="16"/>
    <col collapsed="false" customWidth="true" hidden="false" outlineLevel="0" max="8" min="8" style="0" width="44"/>
  </cols>
  <sheetData>
    <row r="1" customFormat="false" ht="17.35" hidden="false" customHeight="false" outlineLevel="0" collapsed="false">
      <c r="A1" s="10" t="s">
        <v>75</v>
      </c>
    </row>
    <row r="2" customFormat="false" ht="15" hidden="false" customHeight="false" outlineLevel="0" collapsed="false">
      <c r="A2" s="11" t="s">
        <v>76</v>
      </c>
    </row>
    <row r="4" customFormat="false" ht="25.5" hidden="false" customHeight="true" outlineLevel="0" collapsed="false">
      <c r="A4" s="3" t="s">
        <v>18</v>
      </c>
      <c r="B4" s="3" t="s">
        <v>77</v>
      </c>
      <c r="C4" s="3" t="s">
        <v>20</v>
      </c>
      <c r="D4" s="3" t="s">
        <v>78</v>
      </c>
      <c r="E4" s="3" t="s">
        <v>79</v>
      </c>
      <c r="F4" s="3" t="s">
        <v>27</v>
      </c>
      <c r="G4" s="3" t="s">
        <v>80</v>
      </c>
      <c r="H4" s="3" t="s">
        <v>29</v>
      </c>
    </row>
    <row r="5" customFormat="false" ht="15" hidden="false" customHeight="false" outlineLevel="0" collapsed="false">
      <c r="A5" s="12" t="s">
        <v>81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4" t="n">
        <v>1</v>
      </c>
      <c r="B6" s="14" t="s">
        <v>82</v>
      </c>
      <c r="C6" s="15" t="s">
        <v>83</v>
      </c>
      <c r="D6" s="14" t="s">
        <v>84</v>
      </c>
      <c r="E6" s="14" t="s">
        <v>85</v>
      </c>
      <c r="F6" s="14" t="s">
        <v>54</v>
      </c>
      <c r="G6" s="16" t="s">
        <v>39</v>
      </c>
      <c r="H6" s="15" t="s">
        <v>86</v>
      </c>
    </row>
    <row r="7" customFormat="false" ht="15" hidden="false" customHeight="false" outlineLevel="0" collapsed="false">
      <c r="A7" s="14" t="n">
        <v>2</v>
      </c>
      <c r="B7" s="14" t="s">
        <v>82</v>
      </c>
      <c r="C7" s="15" t="s">
        <v>87</v>
      </c>
      <c r="D7" s="14" t="s">
        <v>84</v>
      </c>
      <c r="E7" s="14" t="s">
        <v>85</v>
      </c>
      <c r="F7" s="14" t="s">
        <v>54</v>
      </c>
      <c r="G7" s="16" t="s">
        <v>39</v>
      </c>
      <c r="H7" s="15" t="s">
        <v>88</v>
      </c>
    </row>
    <row r="8" customFormat="false" ht="15" hidden="false" customHeight="false" outlineLevel="0" collapsed="false">
      <c r="A8" s="14" t="n">
        <v>3</v>
      </c>
      <c r="B8" s="14" t="s">
        <v>82</v>
      </c>
      <c r="C8" s="15" t="s">
        <v>89</v>
      </c>
      <c r="D8" s="14" t="s">
        <v>90</v>
      </c>
      <c r="E8" s="14" t="s">
        <v>91</v>
      </c>
      <c r="F8" s="14" t="s">
        <v>54</v>
      </c>
      <c r="G8" s="16" t="s">
        <v>39</v>
      </c>
      <c r="H8" s="15" t="s">
        <v>92</v>
      </c>
    </row>
    <row r="9" customFormat="false" ht="15" hidden="false" customHeight="false" outlineLevel="0" collapsed="false">
      <c r="A9" s="12" t="s">
        <v>93</v>
      </c>
      <c r="B9" s="13"/>
      <c r="C9" s="13"/>
      <c r="D9" s="13"/>
      <c r="E9" s="13"/>
      <c r="F9" s="13"/>
      <c r="G9" s="13"/>
      <c r="H9" s="13"/>
    </row>
    <row r="10" customFormat="false" ht="15" hidden="false" customHeight="false" outlineLevel="0" collapsed="false">
      <c r="A10" s="14" t="n">
        <v>4</v>
      </c>
      <c r="B10" s="14" t="s">
        <v>94</v>
      </c>
      <c r="C10" s="15" t="s">
        <v>95</v>
      </c>
      <c r="D10" s="14" t="s">
        <v>96</v>
      </c>
      <c r="E10" s="14" t="s">
        <v>97</v>
      </c>
      <c r="F10" s="14" t="s">
        <v>98</v>
      </c>
      <c r="G10" s="16" t="s">
        <v>39</v>
      </c>
      <c r="H10" s="15" t="s">
        <v>99</v>
      </c>
    </row>
    <row r="11" customFormat="false" ht="15" hidden="false" customHeight="false" outlineLevel="0" collapsed="false">
      <c r="A11" s="12" t="s">
        <v>100</v>
      </c>
      <c r="B11" s="13"/>
      <c r="C11" s="13"/>
      <c r="D11" s="13"/>
      <c r="E11" s="13"/>
      <c r="F11" s="13"/>
      <c r="G11" s="13"/>
      <c r="H11" s="13"/>
    </row>
    <row r="12" customFormat="false" ht="15" hidden="false" customHeight="false" outlineLevel="0" collapsed="false">
      <c r="A12" s="14" t="n">
        <v>5</v>
      </c>
      <c r="B12" s="14" t="s">
        <v>101</v>
      </c>
      <c r="C12" s="15" t="s">
        <v>102</v>
      </c>
      <c r="D12" s="14" t="s">
        <v>103</v>
      </c>
      <c r="E12" s="14" t="s">
        <v>104</v>
      </c>
      <c r="F12" s="14" t="s">
        <v>105</v>
      </c>
      <c r="G12" s="16" t="s">
        <v>39</v>
      </c>
      <c r="H12" s="15" t="s">
        <v>106</v>
      </c>
    </row>
  </sheetData>
  <autoFilter ref="A4:H12"/>
  <hyperlinks>
    <hyperlink ref="G6" r:id="rId1" display="Apply ↗"/>
    <hyperlink ref="G7" r:id="rId2" display="Apply ↗"/>
    <hyperlink ref="G8" r:id="rId3" display="Apply ↗"/>
    <hyperlink ref="G10" r:id="rId4" display="Apply ↗"/>
    <hyperlink ref="G12" r:id="rId5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2026-10-13T07:09:18Z</dcterms:created>
  <dc:creator>openpyxl</dc:creator>
  <dc:description/>
  <dc:language>en-US</dc:language>
  <cp:lastModifiedBy/>
  <dcterms:modified xsi:type="dcterms:W3CDTF">2026-10-13T07:09:18Z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