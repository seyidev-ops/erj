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ustomer Support" sheetId="2" state="visible" r:id="rId4"/>
    <sheet name="VA &amp; Admin" sheetId="3" state="visible" r:id="rId5"/>
    <sheet name="HR &amp; Legal" sheetId="4" state="visible" r:id="rId6"/>
    <sheet name="Languages &amp; Teaching" sheetId="5" state="visible" r:id="rId7"/>
    <sheet name="Finance &amp; Accounting" sheetId="6" state="visible" r:id="rId8"/>
    <sheet name="Sales &amp; Marketing" sheetId="7" state="visible" r:id="rId9"/>
    <sheet name="Creative &amp; Content" sheetId="8" state="visible" r:id="rId10"/>
    <sheet name="Tech &amp; Operations" sheetId="9" state="visible" r:id="rId11"/>
    <sheet name="micro1 Referral" sheetId="10" state="visible" r:id="rId12"/>
  </sheets>
  <definedNames>
    <definedName function="false" hidden="true" localSheetId="7" name="_xlnm._FilterDatabase" vbProcedure="false">'Creative &amp; Content'!$A$4:$L$17</definedName>
    <definedName function="false" hidden="true" localSheetId="1" name="_xlnm._FilterDatabase" vbProcedure="false">'Customer Support'!$A$4:$L$10</definedName>
    <definedName function="false" hidden="true" localSheetId="5" name="_xlnm._FilterDatabase" vbProcedure="false">'Finance &amp; Accounting'!$A$4:$L$24</definedName>
    <definedName function="false" hidden="true" localSheetId="3" name="_xlnm._FilterDatabase" vbProcedure="false">'HR &amp; Legal'!$A$4:$L$20</definedName>
    <definedName function="false" hidden="true" localSheetId="4" name="_xlnm._FilterDatabase" vbProcedure="false">'Languages &amp; Teaching'!$A$4:$L$7</definedName>
    <definedName function="false" hidden="true" localSheetId="9" name="_xlnm._FilterDatabase" vbProcedure="false">'micro1 Referral'!$A$4:$H$19</definedName>
    <definedName function="false" hidden="true" localSheetId="6" name="_xlnm._FilterDatabase" vbProcedure="false">'Sales &amp; Marketing'!$A$4:$L$13</definedName>
    <definedName function="false" hidden="true" localSheetId="8" name="_xlnm._FilterDatabase" vbProcedure="false">'Tech &amp; Operations'!$A$4:$L$24</definedName>
    <definedName function="false" hidden="true" localSheetId="2" name="_xlnm._FilterDatabase" vbProcedure="false">'VA &amp; Admin'!$A$4:$L$9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<sst xmlns="http://schemas.openxmlformats.org/spreadsheetml/2006/main" count="1018" uniqueCount="428">
  <si>
    <t xml:space="preserve">ERJ Remote Job Search Sheet — 10 Oct 2026</t>
  </si>
  <si>
    <t xml:space="preserve">Posted or first seen 8–10 Oct · nothing from any earlier ERJ sheet (23 Sep → 8 Oct) · priority on thin fields and language/teaching work · company pages only, no gated boards</t>
  </si>
  <si>
    <t xml:space="preserve">Tab</t>
  </si>
  <si>
    <t xml:space="preserve">Open — Nigeria eligible</t>
  </si>
  <si>
    <t xml:space="preserve">Check before applying</t>
  </si>
  <si>
    <t xml:space="preserve">Total</t>
  </si>
  <si>
    <t xml:space="preserve">Customer Support</t>
  </si>
  <si>
    <t xml:space="preserve">VA &amp; Admin</t>
  </si>
  <si>
    <t xml:space="preserve">HR &amp; Legal</t>
  </si>
  <si>
    <t xml:space="preserve">Languages &amp; Teaching</t>
  </si>
  <si>
    <t xml:space="preserve">Finance &amp; Accounting</t>
  </si>
  <si>
    <t xml:space="preserve">Sales &amp; Marketing</t>
  </si>
  <si>
    <t xml:space="preserve">Creative &amp; Content</t>
  </si>
  <si>
    <t xml:space="preserve">Tech &amp; Operations</t>
  </si>
  <si>
    <t xml:space="preserve">micro1 Referral</t>
  </si>
  <si>
    <t xml:space="preserve">Notes</t>
  </si>
  <si>
    <t xml:space="preserve">• Every row is FULLY remote and open to people living in Nigeria: the posting names Nigeria, or says Worldwide / Anywhere / Africa / EMEA (which includes Nigeria). Anything that said only "Remote" with no country, needed US/UK/EU work rights, a US licence, or a foreign language was removed.</t>
  </si>
  <si>
    <t xml:space="preserve">• Wider net this round: Canonical, Automattic, Alpaca, Oyster, Moniepoint, M-KOPA, OpenFn, ALX Africa, Renmoney, Helium Health, Huzzle, 20four7VA, Social Discovery Group, AtlasBrands, Minerva, UNEP, Gigmo, Gramian, Brainbase plus Scale Army, TalentPop, Remotasks and micro1. Each job page opened and confirmed live on 10 Oct.</t>
  </si>
  <si>
    <t xml:space="preserve">• Thin fields now covered: customer support, VA/admin, HR, legal, finance/bookkeeping and teaching. EMEA rows (Canonical, Oyster, Alpaca) cover Europe, Middle East and Africa; Canonical runs 2–4 paid company events a year.</t>
  </si>
  <si>
    <t xml:space="preserve">• Yoruba / Igbo / Hausa: no new openings since 8 Oct; the 8 Oct Languages tab roles are still live.</t>
  </si>
  <si>
    <t xml:space="preserve">• Removed after checking: Wikimedia, Mozilla, GitLab, Khan Academy, Zapier, Kraken (country lists exclude Nigeria); RateHawk, Faculty Online, Mindrift, LILT gaming roles (no country list); Automattic VIP support (US citizens); Pearl, Voxidea (LatAm only); Stay Group (gambling); micro1 US-licensed medical/legal roles.</t>
  </si>
  <si>
    <t xml:space="preserve">Customer Support — new remote roles open to Nigeria (10 Oct 2026)</t>
  </si>
  <si>
    <t xml:space="preserve">From company career pages (Ashby, Greenhouse, Lever, Workable) and official teaching platforms. Nothing here appears on any earlier ERJ sheet.</t>
  </si>
  <si>
    <t xml:space="preserve">#</t>
  </si>
  <si>
    <t xml:space="preserve">Who can apply</t>
  </si>
  <si>
    <t xml:space="preserve">Role</t>
  </si>
  <si>
    <t xml:space="preserve">Company</t>
  </si>
  <si>
    <t xml:space="preserve">Status</t>
  </si>
  <si>
    <t xml:space="preserve">Level</t>
  </si>
  <si>
    <t xml:space="preserve">Pay (as listed)</t>
  </si>
  <si>
    <t xml:space="preserve">Key requirements</t>
  </si>
  <si>
    <t xml:space="preserve">ATS</t>
  </si>
  <si>
    <t xml:space="preserve">Posted</t>
  </si>
  <si>
    <t xml:space="preserve">Apply link</t>
  </si>
  <si>
    <t xml:space="preserve">Note</t>
  </si>
  <si>
    <t xml:space="preserve">▸ Worldwide / global</t>
  </si>
  <si>
    <t xml:space="preserve">Worldwide; "REGION PREFERENCES: Any"</t>
  </si>
  <si>
    <t xml:space="preserve">CS1 Patient Onboarding Agent (Customer Support) — CPT-11597</t>
  </si>
  <si>
    <t xml:space="preserve">20four7VA</t>
  </si>
  <si>
    <t xml:space="preserve">Entry–Mid</t>
  </si>
  <si>
    <t xml:space="preserve">Not listed ("competitive rates, weekly payments")</t>
  </si>
  <si>
    <t xml:space="preserve">1+ yr customer/patient/call-centre support; de-escalation; neutral English accent; 40 hrs/wk 9am–6pm PST</t>
  </si>
  <si>
    <t xml:space="preserve">Breezy HR</t>
  </si>
  <si>
    <t xml:space="preserve">08 Oct 2026</t>
  </si>
  <si>
    <t xml:space="preserve">Apply ↗</t>
  </si>
  <si>
    <t xml:space="preserve">Independent contractor; includes weekend shifts</t>
  </si>
  <si>
    <t xml:space="preserve">Operations &amp; Customer Support Virtual Assistant — CPT-11573</t>
  </si>
  <si>
    <t xml:space="preserve">Customer service + CRM experience; strong phone skills; native/near-native English accent; 15 hrs/wk M/W/F</t>
  </si>
  <si>
    <t xml:space="preserve">06 Oct 2026</t>
  </si>
  <si>
    <t xml:space="preserve">Part-time contractor</t>
  </si>
  <si>
    <t xml:space="preserve">Remote — fully remote company (no country restriction stated)</t>
  </si>
  <si>
    <t xml:space="preserve">Director of Professional Services, WordPress VIP</t>
  </si>
  <si>
    <t xml:space="preserve">Automattic</t>
  </si>
  <si>
    <t xml:space="preserve">Director</t>
  </si>
  <si>
    <t xml:space="preserve">$130,000–$190,000 USD</t>
  </si>
  <si>
    <t xml:space="preserve">8+ yrs leading professional services/implementation; enterprise SaaS delivery; services portfolio building</t>
  </si>
  <si>
    <t xml:space="preserve">Greenhouse</t>
  </si>
  <si>
    <t xml:space="preserve">2 Oct</t>
  </si>
  <si>
    <t xml:space="preserve">Reports to VP Customer Experience</t>
  </si>
  <si>
    <t xml:space="preserve">Home based — Worldwide</t>
  </si>
  <si>
    <t xml:space="preserve">Associate Linux Support Engineer</t>
  </si>
  <si>
    <t xml:space="preserve">Canonical</t>
  </si>
  <si>
    <t xml:space="preserve">Entry (Associate)</t>
  </si>
  <si>
    <t xml:space="preserve">Not listed</t>
  </si>
  <si>
    <t xml:space="preserve">Linux troubleshooting; 2+ of sysadmin/programming/networking/cloud; strong English</t>
  </si>
  <si>
    <t xml:space="preserve">Aug–Oct 2026</t>
  </si>
  <si>
    <t xml:space="preserve">Weekend rotation; travel 2x a year</t>
  </si>
  <si>
    <t xml:space="preserve">"Worldwide" / "Remote Worldwide"</t>
  </si>
  <si>
    <t xml:space="preserve">Senior Product Analyst (CX)</t>
  </si>
  <si>
    <t xml:space="preserve">Social Discovery Group</t>
  </si>
  <si>
    <t xml:space="preserve">Senior</t>
  </si>
  <si>
    <t xml:space="preserve">Maths/technical degree; deep A/B-testing and product analytics experience</t>
  </si>
  <si>
    <t xml:space="preserve">07 Oct 2026</t>
  </si>
  <si>
    <t xml:space="preserve">VA &amp; Admin — new remote roles open to Nigeria (10 Oct 2026)</t>
  </si>
  <si>
    <t xml:space="preserve">Executive Administrative &amp; Research Virtual Assistant — CPT-11608</t>
  </si>
  <si>
    <t xml:space="preserve">Mid</t>
  </si>
  <si>
    <t xml:space="preserve">2+ yrs admin/EA/operations; CRM skills; excellent written English; ~10 hrs/wk PT hours</t>
  </si>
  <si>
    <t xml:space="preserve">05 Oct 2026</t>
  </si>
  <si>
    <t xml:space="preserve">▸ Region list incl. Nigeria</t>
  </si>
  <si>
    <t xml:space="preserve">Home based — EMEA</t>
  </si>
  <si>
    <t xml:space="preserve">Executive Assistant / Corporate Administrator</t>
  </si>
  <si>
    <t xml:space="preserve">Entry / Junior</t>
  </si>
  <si>
    <t xml:space="preserve">Business or technical degree; strong communication; travel up to 4x a year</t>
  </si>
  <si>
    <t xml:space="preserve">Oct 2026</t>
  </si>
  <si>
    <t xml:space="preserve">Not seeking extensive experience — good early-career role</t>
  </si>
  <si>
    <t xml:space="preserve">"This position will be remote and based in Nigeria"</t>
  </si>
  <si>
    <t xml:space="preserve">NiMERP Project Coordinator and MARS Engagement Support (Consultant)</t>
  </si>
  <si>
    <t xml:space="preserve">UNEP (United Nations Environment Programme)</t>
  </si>
  <si>
    <t xml:space="preserve">Not listed (UN consultancy fee)</t>
  </si>
  <si>
    <t xml:space="preserve">Master's + 5 yrs relevant experience incl. work with Nigerian government agencies; English</t>
  </si>
  <si>
    <t xml:space="preserve">UN Careers (Inspira)</t>
  </si>
  <si>
    <t xml:space="preserve">Job opening 285931; 12-month consultancy; deadline 15 Oct 2026</t>
  </si>
  <si>
    <t xml:space="preserve">HR &amp; Legal — new remote roles open to Nigeria (10 Oct 2026)</t>
  </si>
  <si>
    <t xml:space="preserve">Legal Administrative Virtual Assistant — CPT-11320</t>
  </si>
  <si>
    <t xml:space="preserve">1–3+ yrs admin/VA experience; professional phone manner; native/near-native English; 20 hrs/wk EST</t>
  </si>
  <si>
    <t xml:space="preserve">24 Sep 2026</t>
  </si>
  <si>
    <t xml:space="preserve">Part-time contractor; no licence required</t>
  </si>
  <si>
    <t xml:space="preserve">"Worldwide / Spain / Poland / Portugal / Serbia" (remote)</t>
  </si>
  <si>
    <t xml:space="preserve">Executive Search Partner</t>
  </si>
  <si>
    <t xml:space="preserve">5–7 yrs hands-on executive search; closed mid-senior/executive tech roles; EMEA recruiting</t>
  </si>
  <si>
    <t xml:space="preserve">01 Oct 2026</t>
  </si>
  <si>
    <t xml:space="preserve">Remote — EMEA</t>
  </si>
  <si>
    <t xml:space="preserve">People Operations Partner</t>
  </si>
  <si>
    <t xml:space="preserve">Alpaca</t>
  </si>
  <si>
    <t xml:space="preserve">Junior–Mid (1-3 yrs)</t>
  </si>
  <si>
    <t xml:space="preserve">Not listed (+ stock options, $150/mo stipend)</t>
  </si>
  <si>
    <t xml:space="preserve">1-3 yrs People/HR Ops; employee lifecycle admin; multi-country workforce comfort</t>
  </si>
  <si>
    <t xml:space="preserve">19 Sep</t>
  </si>
  <si>
    <t xml:space="preserve">Works across time zones</t>
  </si>
  <si>
    <t xml:space="preserve">Executive Search Lead — Technology</t>
  </si>
  <si>
    <t xml:space="preserve">Senior tech executive-search experience; SQL or Python for analysis; behavioural interviewing</t>
  </si>
  <si>
    <t xml:space="preserve">Home based — Americas or EMEA</t>
  </si>
  <si>
    <t xml:space="preserve">HR Generalist</t>
  </si>
  <si>
    <t xml:space="preserve">HR qualification; working knowledge of EMEA or Americas employment law; travel up to 4x a year</t>
  </si>
  <si>
    <t xml:space="preserve">Home based — Americas or EMEA (or London office)</t>
  </si>
  <si>
    <t xml:space="preserve">Legal Counsel — Regulatory Compliance, Product &amp; Privacy</t>
  </si>
  <si>
    <t xml:space="preserve">Legal Advisor / Counsel</t>
  </si>
  <si>
    <t xml:space="preserve">Law degree + active (or in-progress) practising licence, any jurisdiction; compliance/privacy exposure; excellent English drafting</t>
  </si>
  <si>
    <t xml:space="preserve">No specific bar jurisdiction required</t>
  </si>
  <si>
    <t xml:space="preserve">Organisational Development Associate</t>
  </si>
  <si>
    <t xml:space="preserve">Early career (≤2 yrs post-grad)</t>
  </si>
  <si>
    <t xml:space="preserve">Early leadership/organising record; interest in org psychology/behavioural science; coachable</t>
  </si>
  <si>
    <t xml:space="preserve">Remote: India, Kenya, Lagos (Nigeria), Pakistan, Poland, South Africa, Spain</t>
  </si>
  <si>
    <t xml:space="preserve">Engineering Relations Partner</t>
  </si>
  <si>
    <t xml:space="preserve">Moniepoint</t>
  </si>
  <si>
    <t xml:space="preserve">Mid-Senior</t>
  </si>
  <si>
    <t xml:space="preserve">Ex-software engineer; fintech/high-scale background; strong technical writing</t>
  </si>
  <si>
    <t xml:space="preserve">Live Oct 2026</t>
  </si>
  <si>
    <t xml:space="preserve">Engineering employer-brand/talent role; posting says 'fully remote environment'</t>
  </si>
  <si>
    <t xml:space="preserve">Location "EMEA"; "all of Oyster's positions are fully remote"; 3–4 hrs CET overlap</t>
  </si>
  <si>
    <t xml:space="preserve">Legal Counsel (Employment Products)</t>
  </si>
  <si>
    <t xml:space="preserve">Oyster HR</t>
  </si>
  <si>
    <t xml:space="preserve">Mid–Senior</t>
  </si>
  <si>
    <t xml:space="preserve">Law degree + admission in any jurisdiction; 4+ yrs employment law</t>
  </si>
  <si>
    <t xml:space="preserve">Ashby</t>
  </si>
  <si>
    <t xml:space="preserve">26 Jun 2026</t>
  </si>
  <si>
    <t xml:space="preserve">Older posting but still open; must be authorised to work where you live</t>
  </si>
  <si>
    <t xml:space="preserve">▸ Nigeria-based remote</t>
  </si>
  <si>
    <t xml:space="preserve">Remote, Lagos, Nigeria</t>
  </si>
  <si>
    <t xml:space="preserve">Early Careers Talent Acquisition Specialist</t>
  </si>
  <si>
    <t xml:space="preserve">Mid (5-7 yrs)</t>
  </si>
  <si>
    <t xml:space="preserve">5-7 yrs recruiting, ideally campus/graduate hiring; multi-stakeholder coordination; ATS tools</t>
  </si>
  <si>
    <t xml:space="preserve">22 Sep</t>
  </si>
  <si>
    <t xml:space="preserve">Listed as Remote with Lagos tag</t>
  </si>
  <si>
    <t xml:space="preserve">Fraud Investigation Officer</t>
  </si>
  <si>
    <t xml:space="preserve">Junior-Mid (2-4 yrs)</t>
  </si>
  <si>
    <t xml:space="preserve">Degree; 2-4 yrs fraud investigation/banking/fintech risk; transaction analysis</t>
  </si>
  <si>
    <t xml:space="preserve">Remote, Nigeria</t>
  </si>
  <si>
    <t xml:space="preserve">Security &amp; Technology Risk Analyst</t>
  </si>
  <si>
    <t xml:space="preserve">Mid-Senior (5+ yrs)</t>
  </si>
  <si>
    <t xml:space="preserve">5+ yrs operational/cyber/tech risk; risk assessments; KPI dashboards for execs</t>
  </si>
  <si>
    <t xml:space="preserve">Talent Acquisition Specialist</t>
  </si>
  <si>
    <t xml:space="preserve">Mid–Senior (5+ yrs)</t>
  </si>
  <si>
    <t xml:space="preserve">Not listed (pension, HMO, annual bonus)</t>
  </si>
  <si>
    <t xml:space="preserve">5+ yrs full-cycle recruiting; HR/technical education; agency + in-house, tech &amp; non-tech hiring</t>
  </si>
  <si>
    <t xml:space="preserve">31 Aug</t>
  </si>
  <si>
    <t xml:space="preserve">Languages &amp; Teaching — new remote roles open to Nigeria (10 Oct 2026)</t>
  </si>
  <si>
    <t xml:space="preserve">Nigeria-based (remote)</t>
  </si>
  <si>
    <t xml:space="preserve">AI Trainers Network - English</t>
  </si>
  <si>
    <t xml:space="preserve">Jobgether (for Welo Data)</t>
  </si>
  <si>
    <t xml:space="preserve">Entry level</t>
  </si>
  <si>
    <t xml:space="preserve">Per project</t>
  </si>
  <si>
    <t xml:space="preserve">Native/near-native English; annotate and rate AI answers, write prompts</t>
  </si>
  <si>
    <t xml:space="preserve">Lever</t>
  </si>
  <si>
    <t xml:space="preserve">E-Learning Instructional Designer</t>
  </si>
  <si>
    <t xml:space="preserve">Jobgether (partner company)</t>
  </si>
  <si>
    <t xml:space="preserve">2+ yrs</t>
  </si>
  <si>
    <t xml:space="preserve">6-month contract; Mon–Fri on Australian (AEST) hours; Articulate, LMS, SCORM</t>
  </si>
  <si>
    <t xml:space="preserve">Finance &amp; Accounting — new remote roles open to Nigeria (10 Oct 2026)</t>
  </si>
  <si>
    <t xml:space="preserve">Accounting, Bookkeeping &amp; Operations Virtual Assistant — CPT-11564</t>
  </si>
  <si>
    <t xml:space="preserve">Bookkeeping + QuickBooks Multi-Currency; strong Excel; 20 hrs/wk incl. 4–7pm EST</t>
  </si>
  <si>
    <t xml:space="preserve">04 Oct 2026</t>
  </si>
  <si>
    <t xml:space="preserve">Finance &amp; Tax Support Virtual Assistant — CPT-11624</t>
  </si>
  <si>
    <t xml:space="preserve">Strong QuickBooks; financial tracking &amp; reporting; good written English; 10 hrs/wk PT</t>
  </si>
  <si>
    <t xml:space="preserve">No CPA/EA required</t>
  </si>
  <si>
    <t xml:space="preserve">"Remote - Worldwide" (4+ hrs overlap 9am–5pm EST)</t>
  </si>
  <si>
    <t xml:space="preserve">Accounting Manager</t>
  </si>
  <si>
    <t xml:space="preserve">AtlasBrands</t>
  </si>
  <si>
    <t xml:space="preserve">$5,000–$8,000/month</t>
  </si>
  <si>
    <t xml:space="preserve">5+ yrs accounting incl. multi-entity parent co; DTC/e-commerce; QuickBooks Online; managed a bookkeeper</t>
  </si>
  <si>
    <t xml:space="preserve">09 Oct 2026</t>
  </si>
  <si>
    <t xml:space="preserve">"Worldwide / Warsaw / Belgrade / Tbilisi / Yerevan" (remote)</t>
  </si>
  <si>
    <t xml:space="preserve">3+ yrs senior/GL accountant in multi-entity intl company; IFRS and/or US GAAP; B2+ English</t>
  </si>
  <si>
    <t xml:space="preserve">Home based — EMEA (EMEA time zones)</t>
  </si>
  <si>
    <t xml:space="preserve">Accountant</t>
  </si>
  <si>
    <t xml:space="preserve">Accounting degree; ACCA/ACA/CPA or similar qualification; IFRS expertise</t>
  </si>
  <si>
    <t xml:space="preserve">In-person company events 2-4x a year (travel paid)</t>
  </si>
  <si>
    <t xml:space="preserve">Home based — EMEA (or London office)</t>
  </si>
  <si>
    <t xml:space="preserve">Accounts Payable Clerk</t>
  </si>
  <si>
    <t xml:space="preserve">Accounting/finance education; strong Excel; organised and deadline-driven</t>
  </si>
  <si>
    <t xml:space="preserve">AI-written applications disqualified; In-person company events 2-4x a year (travel paid)</t>
  </si>
  <si>
    <t xml:space="preserve">Home based — EMEA (remote)</t>
  </si>
  <si>
    <t xml:space="preserve">Accounts Receivable Clerk</t>
  </si>
  <si>
    <t xml:space="preserve">Accounting/finance education; strong Excel (pivots, lookups); high attention to detail</t>
  </si>
  <si>
    <t xml:space="preserve">Global Payroll Manager</t>
  </si>
  <si>
    <t xml:space="preserve">Manager</t>
  </si>
  <si>
    <t xml:space="preserve">Multi-country payroll experience; payroll compliance &amp; controls; payroll systems + analytics</t>
  </si>
  <si>
    <t xml:space="preserve">Global Treasury Analyst</t>
  </si>
  <si>
    <t xml:space="preserve">Quantitative degree; CTP/CFA-type certification; global treasury experience</t>
  </si>
  <si>
    <t xml:space="preserve">Tax Senior Associate</t>
  </si>
  <si>
    <t xml:space="preserve">ACA/ACCA/CIMA + CTA/ADIT or equivalent; 3-5 yrs tax at Big 4/Top 10 or multinational</t>
  </si>
  <si>
    <t xml:space="preserve">Location "EMEA"; "must be based within +3/-3 UTC"; fully remote</t>
  </si>
  <si>
    <t xml:space="preserve">Accounts Payable Analyst</t>
  </si>
  <si>
    <t xml:space="preserve">3+ yrs AP; advanced ERP (NetSuite a plus); advanced Excel/Sheets</t>
  </si>
  <si>
    <t xml:space="preserve">Nigeria (UTC+1) is inside the time-zone band</t>
  </si>
  <si>
    <t xml:space="preserve">TELECOMMUTE, Nigeria - Remote (UK working hours)</t>
  </si>
  <si>
    <t xml:space="preserve">Bookkeeper - Xero Specialist</t>
  </si>
  <si>
    <t xml:space="preserve">Huzzle</t>
  </si>
  <si>
    <t xml:space="preserve">Hands-on Xero; UK bookkeeping/HMRC; reconciliations, AP/AR</t>
  </si>
  <si>
    <t xml:space="preserve">Workable</t>
  </si>
  <si>
    <t xml:space="preserve">28 Sep</t>
  </si>
  <si>
    <t xml:space="preserve">UK hours</t>
  </si>
  <si>
    <t xml:space="preserve">TELECOMMUTE, Nigeria</t>
  </si>
  <si>
    <t xml:space="preserve">Finance Ops / Bookkeeper (part-time)</t>
  </si>
  <si>
    <t xml:space="preserve">Expert QuickBooks Online; Canadian payroll/tax knowledge; collections</t>
  </si>
  <si>
    <t xml:space="preserve">Part-time; placed with Huzzle client</t>
  </si>
  <si>
    <t xml:space="preserve">Financial Planning Analyst</t>
  </si>
  <si>
    <t xml:space="preserve">Mid (4-6 yrs)</t>
  </si>
  <si>
    <t xml:space="preserve">4-6 yrs FP&amp;A; advanced Excel/modelling; multi-entity, multi-currency</t>
  </si>
  <si>
    <t xml:space="preserve">Head, Group FP&amp;A</t>
  </si>
  <si>
    <t xml:space="preserve">Head / Senior leadership</t>
  </si>
  <si>
    <t xml:space="preserve">8-10+ yrs FP&amp;A/corp finance/IB; multi-entity, multi-currency consolidation; ACA/ACCA/CFA</t>
  </si>
  <si>
    <t xml:space="preserve">24 Sep</t>
  </si>
  <si>
    <t xml:space="preserve">Head, Product Control &amp; Accounting</t>
  </si>
  <si>
    <t xml:space="preserve">Head / Senior (8+ yrs PQE)</t>
  </si>
  <si>
    <t xml:space="preserve">ACA/ACCA; Big 4 technical accounting; IFRS 9 &amp; 15</t>
  </si>
  <si>
    <t xml:space="preserve">Product Auditor</t>
  </si>
  <si>
    <t xml:space="preserve">Mid (3-5+ yrs)</t>
  </si>
  <si>
    <t xml:space="preserve">3-5+ yrs product/systems audit; advanced SQL; payments &amp; reconciliation knowledge</t>
  </si>
  <si>
    <t xml:space="preserve">Sales &amp; Marketing — new remote roles open to Nigeria (10 Oct 2026)</t>
  </si>
  <si>
    <t xml:space="preserve">Sales Development &amp; Sales Operations Virtual Assistant — CPT-11531</t>
  </si>
  <si>
    <t xml:space="preserve">B2B outbound prospecting, cold calling, appointment setting, CRM pipeline; native/near-native English; 40 hrs/wk EST</t>
  </si>
  <si>
    <t xml:space="preserve">Full-time contractor</t>
  </si>
  <si>
    <t xml:space="preserve">Business Development Representative</t>
  </si>
  <si>
    <t xml:space="preserve">Not listed (base + commission)</t>
  </si>
  <si>
    <t xml:space="preserve">Proven SDR/outbound record beating quota; enterprise software sales; professional English</t>
  </si>
  <si>
    <t xml:space="preserve">Travel 2x a year for company events</t>
  </si>
  <si>
    <t xml:space="preserve">'This role is remote, Africa-based' (GMT+1/+2 preferred)</t>
  </si>
  <si>
    <t xml:space="preserve">Enterprise Sales Manager</t>
  </si>
  <si>
    <t xml:space="preserve">ALX Africa</t>
  </si>
  <si>
    <t xml:space="preserve">Senior (8+ yrs)</t>
  </si>
  <si>
    <t xml:space="preserve">Base + commission (not listed)</t>
  </si>
  <si>
    <t xml:space="preserve">8+ yrs B2B enterprise sales; 3+ yrs leading people; pipeline building</t>
  </si>
  <si>
    <t xml:space="preserve">Possible travel to client markets</t>
  </si>
  <si>
    <t xml:space="preserve">Remote — prioritising Americas or Europe / Africa</t>
  </si>
  <si>
    <t xml:space="preserve">Senior Revenue Operations Manager</t>
  </si>
  <si>
    <t xml:space="preserve">Senior IC</t>
  </si>
  <si>
    <t xml:space="preserve">$140,000–$200,000 USD (paid in local currency)</t>
  </si>
  <si>
    <t xml:space="preserve">6-8+ yrs RevOps incl. a 0→1 build; strong Salesforce; SQL or Python</t>
  </si>
  <si>
    <t xml:space="preserve">Sales Enablement Manager</t>
  </si>
  <si>
    <t xml:space="preserve">Senior / Lead</t>
  </si>
  <si>
    <t xml:space="preserve">MEDDPICC proficiency; built enablement programmes in high-growth markets; travel 2x a year</t>
  </si>
  <si>
    <t xml:space="preserve">Remote, based in Sub-Saharan Africa (SA, Kenya, Ethiopia, Nigeria, Rwanda, Uganda)</t>
  </si>
  <si>
    <t xml:space="preserve">Marketing Director</t>
  </si>
  <si>
    <t xml:space="preserve">OpenFn</t>
  </si>
  <si>
    <t xml:space="preserve">Director (8+ yrs)</t>
  </si>
  <si>
    <t xml:space="preserve">8+ yrs tech marketing; demand gen &amp; pipeline; own website/SEO/analytics</t>
  </si>
  <si>
    <t xml:space="preserve">10 Sep</t>
  </si>
  <si>
    <t xml:space="preserve">Egypt, Argentina, Ethiopia, Nigeria, South Africa</t>
  </si>
  <si>
    <t xml:space="preserve">SEO &amp; GEO Specialist (Part-time)</t>
  </si>
  <si>
    <t xml:space="preserve">Scale Army</t>
  </si>
  <si>
    <t xml:space="preserve">See posting</t>
  </si>
  <si>
    <t xml:space="preserve">$1k/mo</t>
  </si>
  <si>
    <t xml:space="preserve">Part-time contract; SEO + generative-engine (AI search) optimisation</t>
  </si>
  <si>
    <t xml:space="preserve">Creative &amp; Content — new remote roles open to Nigeria (10 Oct 2026)</t>
  </si>
  <si>
    <t xml:space="preserve">Content, Marketing &amp; Travel Operations Virtual Assistant — CPT-11595</t>
  </si>
  <si>
    <t xml:space="preserve">Social media scheduling/content support; strong written English; 10 hrs/wk flexible</t>
  </si>
  <si>
    <t xml:space="preserve">Senior Communications Specialist — Social Media</t>
  </si>
  <si>
    <t xml:space="preserve">Senior experience across major social platforms; social management/analytics tools; strong prioritisation</t>
  </si>
  <si>
    <t xml:space="preserve">London; Remote: Nigeria, Poland, Portugal, Spain</t>
  </si>
  <si>
    <t xml:space="preserve">Senior Product Designer - Design System</t>
  </si>
  <si>
    <t xml:space="preserve">Senior (3+ yrs)</t>
  </si>
  <si>
    <t xml:space="preserve">Advanced Figma (tokens, components); fintech/SaaS UX; design systems</t>
  </si>
  <si>
    <t xml:space="preserve">Marked New on board</t>
  </si>
  <si>
    <t xml:space="preserve">Graphic Design &amp; Social Media Specialist</t>
  </si>
  <si>
    <t xml:space="preserve">$1.1k/mo</t>
  </si>
  <si>
    <t xml:space="preserve">Contract; US clients</t>
  </si>
  <si>
    <t xml:space="preserve">UGC Video Editor</t>
  </si>
  <si>
    <t xml:space="preserve">$1.2k–1.8k/mo</t>
  </si>
  <si>
    <t xml:space="preserve">Contract; short-form UGC ads</t>
  </si>
  <si>
    <t xml:space="preserve">Philippines, Ghana, India, Jamaica, Kenya, Nigeria, Pakistan</t>
  </si>
  <si>
    <t xml:space="preserve">Web Designer</t>
  </si>
  <si>
    <t xml:space="preserve">TalentPop</t>
  </si>
  <si>
    <t xml:space="preserve">$9–10/hr</t>
  </si>
  <si>
    <t xml:space="preserve">Remote; e-commerce/Shopify web design for TalentPop clients</t>
  </si>
  <si>
    <t xml:space="preserve">Marketing Designer (Fractional, 2–3 days/week)</t>
  </si>
  <si>
    <t xml:space="preserve">Contract, part-week</t>
  </si>
  <si>
    <t xml:space="preserve">Remote, Nigeria (fully remote)</t>
  </si>
  <si>
    <t xml:space="preserve">Senior Content Designer</t>
  </si>
  <si>
    <t xml:space="preserve">Degree in English/Comms/Journalism; 3+ yrs UX writing/copywriting; portfolio</t>
  </si>
  <si>
    <t xml:space="preserve">30 Sep</t>
  </si>
  <si>
    <t xml:space="preserve">Senior Illustrator</t>
  </si>
  <si>
    <t xml:space="preserve">Senior (4-5 yrs)</t>
  </si>
  <si>
    <t xml:space="preserve">4-5 yrs illustration/graphic design; arts/design degree; Illustrator + Photoshop portfolio</t>
  </si>
  <si>
    <t xml:space="preserve">Remote, Nigeria (also India, Poland, Portugal, Spain; or London)</t>
  </si>
  <si>
    <t xml:space="preserve">Senior Product Designer (UX)</t>
  </si>
  <si>
    <t xml:space="preserve">3+ yrs senior product design (UX); advanced Figma incl. tokens/components; fintech/SaaS</t>
  </si>
  <si>
    <t xml:space="preserve">14 Sep</t>
  </si>
  <si>
    <t xml:space="preserve">Tech &amp; Operations — new remote roles open to Nigeria (10 Oct 2026)</t>
  </si>
  <si>
    <t xml:space="preserve">Remote — Global Anywhere</t>
  </si>
  <si>
    <t xml:space="preserve">Sr. Insider Risk Analyst</t>
  </si>
  <si>
    <t xml:space="preserve">Not listed (+ stock options)</t>
  </si>
  <si>
    <t xml:space="preserve">3+ yrs DLP/data protection; tuning DLP in SaaS/endpoint; alert triage &amp; escalation</t>
  </si>
  <si>
    <t xml:space="preserve">Sep 2026</t>
  </si>
  <si>
    <t xml:space="preserve">Remote — "engineers worldwide"</t>
  </si>
  <si>
    <t xml:space="preserve">Experienced Software Engineer</t>
  </si>
  <si>
    <t xml:space="preserve">$70,000–$170,000 USD (paid in local currency)</t>
  </si>
  <si>
    <t xml:space="preserve">Production PHP &amp; JavaScript; experience at scale; travel 3-4 weeks/yr for meetups</t>
  </si>
  <si>
    <t xml:space="preserve">21 Sep</t>
  </si>
  <si>
    <t xml:space="preserve">Senior Product Manager, Payments</t>
  </si>
  <si>
    <t xml:space="preserve">$170,000–$240,000 USD</t>
  </si>
  <si>
    <t xml:space="preserve">7+ yrs product incl. senior IC; 4+ yrs payments/fintech; reliability mindset</t>
  </si>
  <si>
    <t xml:space="preserve">Remote — fully remote company (global hiring)</t>
  </si>
  <si>
    <t xml:space="preserve">Senior Systems Engineer</t>
  </si>
  <si>
    <t xml:space="preserve">$120,000–$180,000+ USD</t>
  </si>
  <si>
    <t xml:space="preserve">Large Nginx environments; very large MySQL/MariaDB; PHP apps at scale</t>
  </si>
  <si>
    <t xml:space="preserve">Home based — Worldwide (teams in all time zones)</t>
  </si>
  <si>
    <t xml:space="preserve">Software Support Engineer</t>
  </si>
  <si>
    <t xml:space="preserve">Hands-on Linux/open source; Python, Go, C or C++; CS/STEM background</t>
  </si>
  <si>
    <t xml:space="preserve">Up to 10% travel</t>
  </si>
  <si>
    <t xml:space="preserve">"We welcome candidates anywhere in the world" ("Fully remote, worldwide")</t>
  </si>
  <si>
    <t xml:space="preserve">Senior Product Manager</t>
  </si>
  <si>
    <t xml:space="preserve">Minerva Project</t>
  </si>
  <si>
    <t xml:space="preserve">US$100,000–$125,000/yr</t>
  </si>
  <si>
    <t xml:space="preserve">Independent ownership of software product work from problem definition to launch</t>
  </si>
  <si>
    <t xml:space="preserve">Needs regular working-hour overlap with team</t>
  </si>
  <si>
    <t xml:space="preserve">Remote - Non-US</t>
  </si>
  <si>
    <t xml:space="preserve">Threat Intel - AI / LLM Trainer</t>
  </si>
  <si>
    <t xml:space="preserve">Remotasks (Scale AI)</t>
  </si>
  <si>
    <t xml:space="preserve">Experienced</t>
  </si>
  <si>
    <t xml:space="preserve">Not listed (by expertise)</t>
  </si>
  <si>
    <t xml:space="preserve">Incident response / threat intel / vuln management; GCIH, GCTI, CISSP, OSCP valued; min 5 hrs/week</t>
  </si>
  <si>
    <t xml:space="preserve">'fully remote - you can be based anywhere in Europe, the Middle East or Africa'</t>
  </si>
  <si>
    <t xml:space="preserve">Forward Deployed Engineer, EMEA</t>
  </si>
  <si>
    <t xml:space="preserve">Brainbase Labs</t>
  </si>
  <si>
    <t xml:space="preserve">Own 1+ customer accounts post-sale to deployment; hands-on engineering</t>
  </si>
  <si>
    <t xml:space="preserve">Occasional travel to customer sites</t>
  </si>
  <si>
    <t xml:space="preserve">Remote, work from home - India and Nigeria</t>
  </si>
  <si>
    <t xml:space="preserve">Support Engineer - Power Apps &amp; Power Automate</t>
  </si>
  <si>
    <t xml:space="preserve">Gigmo Solutions</t>
  </si>
  <si>
    <t xml:space="preserve">Pay-per-ticket (rates shared before first shift)</t>
  </si>
  <si>
    <t xml:space="preserve">Canvas &amp; model-driven Power Apps; Power Automate flows; Dataverse</t>
  </si>
  <si>
    <t xml:space="preserve">18 Sep</t>
  </si>
  <si>
    <t xml:space="preserve">Flexible 4- or 8-hour shift blocks; no fixed salary</t>
  </si>
  <si>
    <t xml:space="preserve">Fully remote within UTC-1 to UTC+3; listed Lagos, Accra, Nairobi, Kampala, Cape Town, Johannesburg</t>
  </si>
  <si>
    <t xml:space="preserve">Senior Backend Engineer - Mobility (12-month FTC)</t>
  </si>
  <si>
    <t xml:space="preserve">M-KOPA</t>
  </si>
  <si>
    <t xml:space="preserve">C#/.NET; event-driven microservices (Service Bus/Kafka); Azure, Kubernetes</t>
  </si>
  <si>
    <t xml:space="preserve">9 Oct</t>
  </si>
  <si>
    <t xml:space="preserve">12-month fixed-term contract</t>
  </si>
  <si>
    <t xml:space="preserve">Remote (Europe/Africa time zones): SA, Kenya, Nigeria, Ghana, Rwanda</t>
  </si>
  <si>
    <t xml:space="preserve">Staff Software Engineer (Back-End)</t>
  </si>
  <si>
    <t xml:space="preserve">Staff (8+ yrs)</t>
  </si>
  <si>
    <t xml:space="preserve">8+ yrs backend services; Node.js; designing architectures for reliability at scale</t>
  </si>
  <si>
    <t xml:space="preserve">Production Manager</t>
  </si>
  <si>
    <t xml:space="preserve">$1.7k–2.2k/mo</t>
  </si>
  <si>
    <t xml:space="preserve">Senior Software Engineer - AI Code Evaluation</t>
  </si>
  <si>
    <t xml:space="preserve">Gramian Consulting Group</t>
  </si>
  <si>
    <t xml:space="preserve">Senior (7+ yrs)</t>
  </si>
  <si>
    <t xml:space="preserve">7+ yrs; Python/JS/TS/Java/Go; reviewing production code; strong written English</t>
  </si>
  <si>
    <t xml:space="preserve">1 Oct</t>
  </si>
  <si>
    <t xml:space="preserve">AI-training/evaluation work</t>
  </si>
  <si>
    <t xml:space="preserve">TELECOMMUTE; Lagos, Nigeria</t>
  </si>
  <si>
    <t xml:space="preserve">DevOps Engineer (contract)</t>
  </si>
  <si>
    <t xml:space="preserve">Helium Health</t>
  </si>
  <si>
    <t xml:space="preserve">Mid (3-5 yrs)</t>
  </si>
  <si>
    <t xml:space="preserve">3-5 yrs DevOps; Docker &amp; Kubernetes; Python/Bash; Terraform</t>
  </si>
  <si>
    <t xml:space="preserve">23 Sep</t>
  </si>
  <si>
    <t xml:space="preserve">Contract</t>
  </si>
  <si>
    <t xml:space="preserve">Product Engineer (AI-Native)</t>
  </si>
  <si>
    <t xml:space="preserve">Mid-senior</t>
  </si>
  <si>
    <t xml:space="preserve">Full-time remote</t>
  </si>
  <si>
    <t xml:space="preserve">Remote HubSpot CRM Implementation Specialist</t>
  </si>
  <si>
    <t xml:space="preserve">Outsourcing Advantage</t>
  </si>
  <si>
    <t xml:space="preserve">Proven HubSpot implementation; CRM customisation &amp; data migration; workflow automation</t>
  </si>
  <si>
    <t xml:space="preserve">17 Sep</t>
  </si>
  <si>
    <t xml:space="preserve">Weekends off</t>
  </si>
  <si>
    <t xml:space="preserve">TELECOMMUTE; Lagos, Nigeria - 'Remote work from anywhere in the world'</t>
  </si>
  <si>
    <t xml:space="preserve">Product Manager - SME Lending Lead</t>
  </si>
  <si>
    <t xml:space="preserve">Renmoney</t>
  </si>
  <si>
    <t xml:space="preserve">Senior (4-7 yrs)</t>
  </si>
  <si>
    <t xml:space="preserve">4-7 yrs PM; SME/B2B lending background; scaled lending products</t>
  </si>
  <si>
    <t xml:space="preserve">29 Sep</t>
  </si>
  <si>
    <t xml:space="preserve">micro1 — new roles on your referral link (10 Oct 2026)</t>
  </si>
  <si>
    <t xml:space="preserve">Every "Apply ↗" opens that exact role on micro1 with your referral code, so applications are credited to you. Remote AI-training / expert contracts; country eligibility is confirmed during micro1 application.</t>
  </si>
  <si>
    <t xml:space="preserve">Field</t>
  </si>
  <si>
    <t xml:space="preserve">Pay (per hour, as listed)</t>
  </si>
  <si>
    <t xml:space="preserve">Openings</t>
  </si>
  <si>
    <t xml:space="preserve">Apply via referral</t>
  </si>
  <si>
    <t xml:space="preserve">▸ AI Training &amp; Admin</t>
  </si>
  <si>
    <t xml:space="preserve">AI Training &amp; Admin</t>
  </si>
  <si>
    <t xml:space="preserve">Video Data Annotator</t>
  </si>
  <si>
    <t xml:space="preserve">$8–10/hr</t>
  </si>
  <si>
    <t xml:space="preserve">1000</t>
  </si>
  <si>
    <t xml:space="preserve">Opens this role directly on your referral link. Entry level, huge intake</t>
  </si>
  <si>
    <t xml:space="preserve">AI Agent Evaluator</t>
  </si>
  <si>
    <t xml:space="preserve">$25–45/hr</t>
  </si>
  <si>
    <t xml:space="preserve">50</t>
  </si>
  <si>
    <t xml:space="preserve">Opens this role directly on your referral link.</t>
  </si>
  <si>
    <t xml:space="preserve">Everyday AI Agent Tester</t>
  </si>
  <si>
    <t xml:space="preserve">Human Data Manager</t>
  </si>
  <si>
    <t xml:space="preserve">$40–60/hr</t>
  </si>
  <si>
    <t xml:space="preserve">1</t>
  </si>
  <si>
    <t xml:space="preserve">Human Data Manager, New Grad</t>
  </si>
  <si>
    <t xml:space="preserve">Not specified</t>
  </si>
  <si>
    <t xml:space="preserve">Opens this role directly on your referral link. Fresh graduates</t>
  </si>
  <si>
    <t xml:space="preserve">▸ Creative &amp; Media</t>
  </si>
  <si>
    <t xml:space="preserve">Creative &amp; Media</t>
  </si>
  <si>
    <t xml:space="preserve">Filmmaker</t>
  </si>
  <si>
    <t xml:space="preserve">$21–35/hr</t>
  </si>
  <si>
    <t xml:space="preserve">250</t>
  </si>
  <si>
    <t xml:space="preserve">8 Oct</t>
  </si>
  <si>
    <t xml:space="preserve">Sound Designer</t>
  </si>
  <si>
    <t xml:space="preserve">▸ Software &amp; Data</t>
  </si>
  <si>
    <t xml:space="preserve">Software &amp; Data</t>
  </si>
  <si>
    <t xml:space="preserve">Game Developer</t>
  </si>
  <si>
    <t xml:space="preserve">$25–70/hr</t>
  </si>
  <si>
    <t xml:space="preserve">20</t>
  </si>
  <si>
    <t xml:space="preserve">▸ Finance</t>
  </si>
  <si>
    <t xml:space="preserve">Finance</t>
  </si>
  <si>
    <t xml:space="preserve">Financial Expert</t>
  </si>
  <si>
    <t xml:space="preserve">$30–40/hr</t>
  </si>
  <si>
    <t xml:space="preserve">10</t>
  </si>
  <si>
    <t xml:space="preserve">Quantitative Rates Researcher</t>
  </si>
  <si>
    <t xml:space="preserve">$80–150/hr</t>
  </si>
  <si>
    <t xml:space="preserve">100</t>
  </si>
  <si>
    <t xml:space="preserve">Rates Trader</t>
  </si>
  <si>
    <t xml:space="preserve">$80–100/hr</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</si>
</sst>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0"/>
      <charset val="1"/>
    </font>
    <font>
      <sz val="10"/>
      <name val="Arial"/>
      <family val="0"/>
    </font>
    <font>
      <sz val="10"/>
      <name val="Arial"/>
      <family val="0"/>
    </font>
    <font>
      <sz val="10"/>
      <name val="Arial"/>
      <family val="0"/>
    </font>
    <font>
      <b val="true"/>
      <sz val="16"/>
      <color theme="1"/>
      <name val="Arial"/>
      <family val="0"/>
      <charset val="1"/>
    </font>
    <font>
      <i val="true"/>
      <sz val="10"/>
      <color rgb="FF666666"/>
      <name val="Arial"/>
      <family val="0"/>
      <charset val="1"/>
    </font>
    <font>
      <b val="true"/>
      <sz val="10"/>
      <color rgb="FFFFFFFF"/>
      <name val="Arial"/>
      <family val="0"/>
      <charset val="1"/>
    </font>
    <font>
      <u val="single"/>
      <sz val="10"/>
      <color rgb="FF0563C1"/>
      <name val="Arial"/>
      <family val="0"/>
      <charset val="1"/>
    </font>
    <font>
      <sz val="10"/>
      <color theme="1"/>
      <name val="Arial"/>
      <family val="0"/>
      <charset val="1"/>
    </font>
    <font>
      <b val="true"/>
      <sz val="11"/>
      <color theme="1"/>
      <name val="Arial"/>
      <family val="0"/>
      <charset val="1"/>
    </font>
    <font>
      <b val="true"/>
      <sz val="12"/>
      <color theme="1"/>
      <name val="Arial"/>
      <family val="0"/>
      <charset val="1"/>
    </font>
    <font>
      <b val="true"/>
      <sz val="14"/>
      <color theme="1"/>
      <name val="Arial"/>
      <family val="0"/>
      <charset val="1"/>
    </font>
    <font>
      <i val="true"/>
      <sz val="9"/>
      <color rgb="FF666666"/>
      <name val="Arial"/>
      <family val="0"/>
      <charset val="1"/>
    </font>
    <font>
      <b val="true"/>
      <sz val="10"/>
      <color rgb="FFB23A12"/>
      <name val="Arial"/>
      <family val="0"/>
      <charset val="1"/>
    </font>
  </fonts>
  <fills count="4">
    <fill>
      <patternFill patternType="none"/>
    </fill>
    <fill>
      <patternFill patternType="gray125"/>
    </fill>
    <fill>
      <patternFill patternType="solid">
        <fgColor rgb="FF111111"/>
        <bgColor rgb="FF000000"/>
      </patternFill>
    </fill>
    <fill>
      <patternFill patternType="solid">
        <fgColor rgb="FFFDE3D9"/>
        <bgColor rgb="FFFFF2CC"/>
      </patternFill>
    </fill>
  </fills>
  <borders count="2">
    <border diagonalUp="false" diagonalDown="false">
      <left/>
      <right/>
      <top/>
      <bottom/>
      <diagonal/>
    </border>
    <border diagonalUp="false" diagonalDown="false">
      <left/>
      <right/>
      <top/>
      <bottom style="thin">
        <color rgb="FFE3E3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0" fillId="3"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11111"/>
          <bgColor rgb="FF000000"/>
        </patternFill>
      </fill>
    </dxf>
    <dxf>
      <fill>
        <patternFill patternType="solid">
          <fgColor rgb="FFFDE3D9"/>
          <bgColor rgb="FF000000"/>
        </patternFill>
      </fill>
    </dxf>
    <dxf>
      <fill>
        <patternFill patternType="solid">
          <bgColor rgb="FF000000"/>
        </patternFill>
      </fill>
    </dxf>
    <dxf>
      <fill>
        <patternFill patternType="solid">
          <fgColor rgb="FF000000"/>
          <bgColor rgb="FF000000"/>
        </patternFill>
      </fill>
    </dxf>
    <dxf>
      <fill>
        <patternFill patternType="solid">
          <fgColor rgb="FFB23A12"/>
          <bgColor rgb="FF000000"/>
        </patternFill>
      </fill>
    </dxf>
    <dxf>
      <fill>
        <patternFill patternType="solid">
          <fgColor rgb="FFFFFFFF"/>
          <bgColor rgb="FF000000"/>
        </patternFill>
      </fill>
    </dxf>
    <dxf>
      <fill>
        <patternFill patternType="solid">
          <fgColor rgb="FFDFF3E4"/>
          <bgColor rgb="FF000000"/>
        </patternFill>
      </fill>
    </dxf>
    <dxf>
      <fill>
        <patternFill patternType="solid">
          <fgColor rgb="FF1E6B34"/>
          <bgColor rgb="FF000000"/>
        </patternFill>
      </fill>
    </dxf>
    <dxf>
      <fill>
        <patternFill patternType="solid">
          <fgColor rgb="FF0563C1"/>
          <bgColor rgb="FF000000"/>
        </patternFill>
      </fill>
    </dxf>
    <dxf>
      <font>
        <name val="Arial"/>
        <charset val="1"/>
        <family val="0"/>
        <b val="1"/>
        <color rgb="FF1E6B34"/>
      </font>
      <fill>
        <patternFill>
          <bgColor rgb="FFDFF3E4"/>
        </patternFill>
      </fill>
    </dxf>
    <dxf>
      <font>
        <name val="Arial"/>
        <charset val="1"/>
        <family val="0"/>
        <color rgb="FF7A5B00"/>
      </font>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1E6B34"/>
      <rgbColor rgb="FF000080"/>
      <rgbColor rgb="FF7A5B00"/>
      <rgbColor rgb="FF800080"/>
      <rgbColor rgb="FF008080"/>
      <rgbColor rgb="FFC0C0C0"/>
      <rgbColor rgb="FF808080"/>
      <rgbColor rgb="FF9999FF"/>
      <rgbColor rgb="FF993366"/>
      <rgbColor rgb="FFFFF2CC"/>
      <rgbColor rgb="FFCCFFFF"/>
      <rgbColor rgb="FF660066"/>
      <rgbColor rgb="FFFF8080"/>
      <rgbColor rgb="FF0563C1"/>
      <rgbColor rgb="FFE3E3E3"/>
      <rgbColor rgb="FF000080"/>
      <rgbColor rgb="FFFF00FF"/>
      <rgbColor rgb="FFFFFF00"/>
      <rgbColor rgb="FF00FFFF"/>
      <rgbColor rgb="FF800080"/>
      <rgbColor rgb="FF800000"/>
      <rgbColor rgb="FF008080"/>
      <rgbColor rgb="FF0000FF"/>
      <rgbColor rgb="FF00CCFF"/>
      <rgbColor rgb="FFCCFFFF"/>
      <rgbColor rgb="FFDFF3E4"/>
      <rgbColor rgb="FFFFFF99"/>
      <rgbColor rgb="FF99CCFF"/>
      <rgbColor rgb="FFFF99CC"/>
      <rgbColor rgb="FFCC99FF"/>
      <rgbColor rgb="FFFDE3D9"/>
      <rgbColor rgb="FF3366FF"/>
      <rgbColor rgb="FF33CCCC"/>
      <rgbColor rgb="FF99CC00"/>
      <rgbColor rgb="FFFFCC00"/>
      <rgbColor rgb="FFFF9900"/>
      <rgbColor rgb="FFFF6600"/>
      <rgbColor rgb="FF666666"/>
      <rgbColor rgb="FF969696"/>
      <rgbColor rgb="FF003366"/>
      <rgbColor rgb="FF339966"/>
      <rgbColor rgb="FF111111"/>
      <rgbColor rgb="FF333300"/>
      <rgbColor rgb="FFB23A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erj_search_sheet_10_oct_2026.xlsx/" TargetMode="External"/><Relationship Id="rId2" Type="http://schemas.openxmlformats.org/officeDocument/2006/relationships/hyperlink" Target="http://erj_search_sheet_10_oct_2026.xlsx/" TargetMode="External"/><Relationship Id="rId3" Type="http://schemas.openxmlformats.org/officeDocument/2006/relationships/hyperlink" Target="http://erj_search_sheet_10_oct_2026.xlsx/" TargetMode="External"/><Relationship Id="rId4" Type="http://schemas.openxmlformats.org/officeDocument/2006/relationships/hyperlink" Target="http://erj_search_sheet_10_oct_2026.xlsx/" TargetMode="External"/><Relationship Id="rId5" Type="http://schemas.openxmlformats.org/officeDocument/2006/relationships/hyperlink" Target="http://erj_search_sheet_10_oct_2026.xlsx/" TargetMode="External"/><Relationship Id="rId6" Type="http://schemas.openxmlformats.org/officeDocument/2006/relationships/hyperlink" Target="http://erj_search_sheet_10_oct_2026.xlsx/" TargetMode="External"/><Relationship Id="rId7" Type="http://schemas.openxmlformats.org/officeDocument/2006/relationships/hyperlink" Target="http://erj_search_sheet_10_oct_2026.xlsx/" TargetMode="External"/><Relationship Id="rId8" Type="http://schemas.openxmlformats.org/officeDocument/2006/relationships/hyperlink" Target="http://erj_search_sheet_10_oct_2026.xlsx/" TargetMode="External"/><Relationship Id="rId9" Type="http://schemas.openxmlformats.org/officeDocument/2006/relationships/hyperlink" Target="http://erj_search_sheet_10_oct_2026.xlsx/"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20four7va.breezy.hr/p/290b58b7f1bd-cpt-11597-cs1-patient-onboarding-agent-customer-support" TargetMode="External"/><Relationship Id="rId2" Type="http://schemas.openxmlformats.org/officeDocument/2006/relationships/hyperlink" Target="https://20four7va.breezy.hr/p/6b7d188c6da1-cpt-11573-operations-customer-support-virtual-assistant" TargetMode="External"/><Relationship Id="rId3" Type="http://schemas.openxmlformats.org/officeDocument/2006/relationships/hyperlink" Target="https://job-boards.greenhouse.io/automatticcareers/jobs/8000156" TargetMode="External"/><Relationship Id="rId4" Type="http://schemas.openxmlformats.org/officeDocument/2006/relationships/hyperlink" Target="https://job-boards.greenhouse.io/canonical/jobs/6448444" TargetMode="External"/><Relationship Id="rId5" Type="http://schemas.openxmlformats.org/officeDocument/2006/relationships/hyperlink" Target="https://social-discovery-ventures.breezy.hr/p/56c7a78e089401-senior-product-analyst-cx" TargetMode="External"/><Relationship Id="rId6"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20four7va.breezy.hr/p/51a21f59eb49-cpt-11608-executive-administrative-research-virtual-assistant" TargetMode="External"/><Relationship Id="rId2" Type="http://schemas.openxmlformats.org/officeDocument/2006/relationships/hyperlink" Target="https://job-boards.greenhouse.io/canonical/jobs/3227084" TargetMode="External"/><Relationship Id="rId3" Type="http://schemas.openxmlformats.org/officeDocument/2006/relationships/hyperlink" Target="https://careers.un.org/jobSearchDescription/285931?language=en" TargetMode="External"/><Relationship Id="rId4"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20four7va.breezy.hr/p/2acfd2e68623-cpt-11320-legal-administrative-virtual-assistant" TargetMode="External"/><Relationship Id="rId2" Type="http://schemas.openxmlformats.org/officeDocument/2006/relationships/hyperlink" Target="https://social-discovery-ventures.breezy.hr/p/dd5e7bc7ba7601-executive-search-partner" TargetMode="External"/><Relationship Id="rId3" Type="http://schemas.openxmlformats.org/officeDocument/2006/relationships/hyperlink" Target="https://job-boards.greenhouse.io/alpaca/jobs/6161977004" TargetMode="External"/><Relationship Id="rId4" Type="http://schemas.openxmlformats.org/officeDocument/2006/relationships/hyperlink" Target="https://job-boards.greenhouse.io/canonical/jobs/7064135" TargetMode="External"/><Relationship Id="rId5" Type="http://schemas.openxmlformats.org/officeDocument/2006/relationships/hyperlink" Target="https://job-boards.greenhouse.io/canonical/jobs/7055576" TargetMode="External"/><Relationship Id="rId6" Type="http://schemas.openxmlformats.org/officeDocument/2006/relationships/hyperlink" Target="https://job-boards.greenhouse.io/canonical/jobs/7946932" TargetMode="External"/><Relationship Id="rId7" Type="http://schemas.openxmlformats.org/officeDocument/2006/relationships/hyperlink" Target="https://job-boards.greenhouse.io/canonical/jobs/8160237" TargetMode="External"/><Relationship Id="rId8" Type="http://schemas.openxmlformats.org/officeDocument/2006/relationships/hyperlink" Target="https://job-boards.eu.greenhouse.io/moniepoint/jobs/4874410101" TargetMode="External"/><Relationship Id="rId9" Type="http://schemas.openxmlformats.org/officeDocument/2006/relationships/hyperlink" Target="https://jobs.ashbyhq.com/oyster/f96014b7-68e5-45fe-9c53-1dea5775fc66" TargetMode="External"/><Relationship Id="rId10" Type="http://schemas.openxmlformats.org/officeDocument/2006/relationships/hyperlink" Target="https://job-boards.eu.greenhouse.io/moniepoint/jobs/4981411101" TargetMode="External"/><Relationship Id="rId11" Type="http://schemas.openxmlformats.org/officeDocument/2006/relationships/hyperlink" Target="https://job-boards.eu.greenhouse.io/moniepoint/jobs/4940889101" TargetMode="External"/><Relationship Id="rId12" Type="http://schemas.openxmlformats.org/officeDocument/2006/relationships/hyperlink" Target="https://job-boards.eu.greenhouse.io/moniepoint/jobs/4776707101" TargetMode="External"/><Relationship Id="rId13" Type="http://schemas.openxmlformats.org/officeDocument/2006/relationships/hyperlink" Target="https://job-boards.eu.greenhouse.io/moniepoint/jobs/4056914101" TargetMode="External"/><Relationship Id="rId14"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jobs.lever.co/jobgether/9af45891-00c0-4b7e-a57e-f4fac55b3272" TargetMode="External"/><Relationship Id="rId2" Type="http://schemas.openxmlformats.org/officeDocument/2006/relationships/hyperlink" Target="https://jobs.lever.co/jobgether/6f75e50b-a25f-450a-8f87-0810c447de88" TargetMode="External"/><Relationship Id="rId3"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20four7va.breezy.hr/p/2821fa9f700e-cpt-11564-accounting-bookkeeping-operations-virtual-assistant" TargetMode="External"/><Relationship Id="rId2" Type="http://schemas.openxmlformats.org/officeDocument/2006/relationships/hyperlink" Target="https://20four7va.breezy.hr/p/c5297e5a0d24-cpt-11624-finance-tax-support-virtual-assistant" TargetMode="External"/><Relationship Id="rId3" Type="http://schemas.openxmlformats.org/officeDocument/2006/relationships/hyperlink" Target="https://atlasbrands.breezy.hr/p/7bde058c27b0-accounting-manager" TargetMode="External"/><Relationship Id="rId4" Type="http://schemas.openxmlformats.org/officeDocument/2006/relationships/hyperlink" Target="https://social-discovery-ventures.breezy.hr/p/0b3ed5780ce801-accounting-manager" TargetMode="External"/><Relationship Id="rId5" Type="http://schemas.openxmlformats.org/officeDocument/2006/relationships/hyperlink" Target="https://job-boards.greenhouse.io/canonical/jobs/5569916" TargetMode="External"/><Relationship Id="rId6" Type="http://schemas.openxmlformats.org/officeDocument/2006/relationships/hyperlink" Target="https://job-boards.greenhouse.io/canonical/jobs/7971310" TargetMode="External"/><Relationship Id="rId7" Type="http://schemas.openxmlformats.org/officeDocument/2006/relationships/hyperlink" Target="https://job-boards.greenhouse.io/canonical/jobs/5243483" TargetMode="External"/><Relationship Id="rId8" Type="http://schemas.openxmlformats.org/officeDocument/2006/relationships/hyperlink" Target="https://job-boards.greenhouse.io/canonical/jobs/8081579" TargetMode="External"/><Relationship Id="rId9" Type="http://schemas.openxmlformats.org/officeDocument/2006/relationships/hyperlink" Target="https://job-boards.greenhouse.io/canonical/jobs/5839217" TargetMode="External"/><Relationship Id="rId10" Type="http://schemas.openxmlformats.org/officeDocument/2006/relationships/hyperlink" Target="https://job-boards.greenhouse.io/canonical/jobs/7568354" TargetMode="External"/><Relationship Id="rId11" Type="http://schemas.openxmlformats.org/officeDocument/2006/relationships/hyperlink" Target="https://jobs.ashbyhq.com/oyster/83b10c34-8c44-4c58-89d4-5e99be716c76" TargetMode="External"/><Relationship Id="rId12" Type="http://schemas.openxmlformats.org/officeDocument/2006/relationships/hyperlink" Target="https://jobs.workable.com/view/7MHeL1obbmph3NimbqvBfG/remote-bookkeeper---xero-specialist-in-nigeria-at-huzzle" TargetMode="External"/><Relationship Id="rId13" Type="http://schemas.openxmlformats.org/officeDocument/2006/relationships/hyperlink" Target="https://jobs.workable.com/view/pFCakM1XmoyahfhxeotTPj/remote-finance-ops-%2F-bookkeeper-in-nigeria-at-huzzle" TargetMode="External"/><Relationship Id="rId14" Type="http://schemas.openxmlformats.org/officeDocument/2006/relationships/hyperlink" Target="https://job-boards.eu.greenhouse.io/moniepoint/jobs/4355709101" TargetMode="External"/><Relationship Id="rId15" Type="http://schemas.openxmlformats.org/officeDocument/2006/relationships/hyperlink" Target="https://job-boards.eu.greenhouse.io/moniepoint/jobs/4889337101" TargetMode="External"/><Relationship Id="rId16" Type="http://schemas.openxmlformats.org/officeDocument/2006/relationships/hyperlink" Target="https://job-boards.eu.greenhouse.io/moniepoint/jobs/4889340101" TargetMode="External"/><Relationship Id="rId17" Type="http://schemas.openxmlformats.org/officeDocument/2006/relationships/hyperlink" Target="https://job-boards.eu.greenhouse.io/moniepoint/jobs/4821858101" TargetMode="External"/><Relationship Id="rId18"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20four7va.breezy.hr/p/8a70174210ca-cpt-11531-sales-development-sales-operations-virtual-assistant" TargetMode="External"/><Relationship Id="rId2" Type="http://schemas.openxmlformats.org/officeDocument/2006/relationships/hyperlink" Target="https://job-boards.greenhouse.io/canonical/jobs/6713184" TargetMode="External"/><Relationship Id="rId3" Type="http://schemas.openxmlformats.org/officeDocument/2006/relationships/hyperlink" Target="https://job-boards.greenhouse.io/alxafrica/jobs/8267874" TargetMode="External"/><Relationship Id="rId4" Type="http://schemas.openxmlformats.org/officeDocument/2006/relationships/hyperlink" Target="https://job-boards.greenhouse.io/automatticcareers/jobs/7475345" TargetMode="External"/><Relationship Id="rId5" Type="http://schemas.openxmlformats.org/officeDocument/2006/relationships/hyperlink" Target="https://job-boards.greenhouse.io/canonical/jobs/7963009" TargetMode="External"/><Relationship Id="rId6" Type="http://schemas.openxmlformats.org/officeDocument/2006/relationships/hyperlink" Target="https://apply.workable.com/openfn/j/125368C404/" TargetMode="External"/><Relationship Id="rId7" Type="http://schemas.openxmlformats.org/officeDocument/2006/relationships/hyperlink" Target="https://jobs.ashbyhq.com/scale%20army%20careers/dd386166-ace9-48c0-a806-3ff91a7c898f" TargetMode="External"/><Relationship Id="rId8"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20four7va.breezy.hr/p/9984b6611045-cpt-11595-content-marketing-travel-operations-virtual-assistant" TargetMode="External"/><Relationship Id="rId2" Type="http://schemas.openxmlformats.org/officeDocument/2006/relationships/hyperlink" Target="https://job-boards.greenhouse.io/canonical/jobs/7771226" TargetMode="External"/><Relationship Id="rId3" Type="http://schemas.openxmlformats.org/officeDocument/2006/relationships/hyperlink" Target="https://job-boards.eu.greenhouse.io/moniepoint/jobs/4997735101" TargetMode="External"/><Relationship Id="rId4" Type="http://schemas.openxmlformats.org/officeDocument/2006/relationships/hyperlink" Target="https://jobs.ashbyhq.com/scale%20army%20careers/58367392-f748-4554-8663-4f703c62bc0b" TargetMode="External"/><Relationship Id="rId5" Type="http://schemas.openxmlformats.org/officeDocument/2006/relationships/hyperlink" Target="https://jobs.ashbyhq.com/scale%20army%20careers/ca544b64-49a0-4c00-b2c0-8a4f70e144a7" TargetMode="External"/><Relationship Id="rId6" Type="http://schemas.openxmlformats.org/officeDocument/2006/relationships/hyperlink" Target="https://jobs.ashbyhq.com/talentpop/5b88df0a-c54a-4290-914a-69fef0fedee5" TargetMode="External"/><Relationship Id="rId7" Type="http://schemas.openxmlformats.org/officeDocument/2006/relationships/hyperlink" Target="https://jobs.lever.co/jobgether/a2aca029-2005-45d3-8e93-0ef0b856091c" TargetMode="External"/><Relationship Id="rId8" Type="http://schemas.openxmlformats.org/officeDocument/2006/relationships/hyperlink" Target="https://job-boards.eu.greenhouse.io/moniepoint/jobs/4956399101" TargetMode="External"/><Relationship Id="rId9" Type="http://schemas.openxmlformats.org/officeDocument/2006/relationships/hyperlink" Target="https://job-boards.eu.greenhouse.io/moniepoint/jobs/4973542101" TargetMode="External"/><Relationship Id="rId10" Type="http://schemas.openxmlformats.org/officeDocument/2006/relationships/hyperlink" Target="https://job-boards.eu.greenhouse.io/moniepoint/jobs/4612209101" TargetMode="External"/><Relationship Id="rId1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https://job-boards.greenhouse.io/alpaca/jobs/6137928004" TargetMode="External"/><Relationship Id="rId2" Type="http://schemas.openxmlformats.org/officeDocument/2006/relationships/hyperlink" Target="https://job-boards.greenhouse.io/automatticcareers/jobs/5862239" TargetMode="External"/><Relationship Id="rId3" Type="http://schemas.openxmlformats.org/officeDocument/2006/relationships/hyperlink" Target="https://job-boards.greenhouse.io/automatticcareers/jobs/7482858" TargetMode="External"/><Relationship Id="rId4" Type="http://schemas.openxmlformats.org/officeDocument/2006/relationships/hyperlink" Target="https://job-boards.greenhouse.io/automatticcareers/jobs/5980233" TargetMode="External"/><Relationship Id="rId5" Type="http://schemas.openxmlformats.org/officeDocument/2006/relationships/hyperlink" Target="https://job-boards.greenhouse.io/canonical/jobs/6635593" TargetMode="External"/><Relationship Id="rId6" Type="http://schemas.openxmlformats.org/officeDocument/2006/relationships/hyperlink" Target="https://minerva-project.breezy.hr/p/dc7322771aa1-senior-product-manager" TargetMode="External"/><Relationship Id="rId7" Type="http://schemas.openxmlformats.org/officeDocument/2006/relationships/hyperlink" Target="https://job-boards.greenhouse.io/remotasks/jobs/4369099005" TargetMode="External"/><Relationship Id="rId8" Type="http://schemas.openxmlformats.org/officeDocument/2006/relationships/hyperlink" Target="https://jobs.ashbyhq.com/brainbaselabs/ad4e24e1-7f85-419d-b15a-d589540ea8fa" TargetMode="External"/><Relationship Id="rId9" Type="http://schemas.openxmlformats.org/officeDocument/2006/relationships/hyperlink" Target="https://apply.workable.com/gigmos/j/509F3DB938/" TargetMode="External"/><Relationship Id="rId10" Type="http://schemas.openxmlformats.org/officeDocument/2006/relationships/hyperlink" Target="https://jobs.ashbyhq.com/m-kopa/121d269d-f893-4e4c-9a88-eae3f6c5c917" TargetMode="External"/><Relationship Id="rId11" Type="http://schemas.openxmlformats.org/officeDocument/2006/relationships/hyperlink" Target="https://apply.workable.com/openfn/j/EEE70403B1/" TargetMode="External"/><Relationship Id="rId12" Type="http://schemas.openxmlformats.org/officeDocument/2006/relationships/hyperlink" Target="https://jobs.ashbyhq.com/scale%20army%20careers/523d1f1e-2cb2-4a73-80e6-d5a08ded970f" TargetMode="External"/><Relationship Id="rId13" Type="http://schemas.openxmlformats.org/officeDocument/2006/relationships/hyperlink" Target="https://jobs.workable.com/view/hUca3NZfyuPqim7nNBro49/remote-senior-software-engineer---ai-code-evaluation-in-nigeria-at-gramian-consulting-group" TargetMode="External"/><Relationship Id="rId14" Type="http://schemas.openxmlformats.org/officeDocument/2006/relationships/hyperlink" Target="https://jobs.workable.com/view/bMPpPRAnhrsGToCuzHu6MG/remote-devops-engineer-in-lagos-at-helium-health" TargetMode="External"/><Relationship Id="rId15" Type="http://schemas.openxmlformats.org/officeDocument/2006/relationships/hyperlink" Target="https://jobs.lever.co/jobgether/5f734e58-9a74-460e-b3d6-922b6c7883f0" TargetMode="External"/><Relationship Id="rId16" Type="http://schemas.openxmlformats.org/officeDocument/2006/relationships/hyperlink" Target="https://jobs.workable.com/view/tDh75KLJbhjb1eEJzbS4aW/remote-hubspot-crm-implementation-specialist-in-nigeria-at-outsourcing-advantage" TargetMode="External"/><Relationship Id="rId17" Type="http://schemas.openxmlformats.org/officeDocument/2006/relationships/hyperlink" Target="https://jobs.workable.com/view/mwAprb7pGqiVar3ZkBBRDv/remote-product-manager---sme-lending-lead-in-lagos-at-renmoney" TargetMode="External"/><Relationship Id="rId18"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hyperlink" Target="https://jobs.micro1.ai/post/c00af525-54b0-4e97-ad41-b6339638d1e9?referralCode=d3605f74-92f0-4f1c-b8e2-4ab757bffc26&amp;utm_source=referral&amp;utm_medium=share&amp;utm_campaign=job_referral" TargetMode="External"/><Relationship Id="rId2" Type="http://schemas.openxmlformats.org/officeDocument/2006/relationships/hyperlink" Target="https://jobs.micro1.ai/post/2fea94b5-2f19-4287-b776-f061b413a00f?referralCode=d3605f74-92f0-4f1c-b8e2-4ab757bffc26&amp;utm_source=referral&amp;utm_medium=share&amp;utm_campaign=job_referral" TargetMode="External"/><Relationship Id="rId3" Type="http://schemas.openxmlformats.org/officeDocument/2006/relationships/hyperlink" Target="https://jobs.micro1.ai/post/93ff19b0-13b0-414a-88c5-e6352b0acf3a?referralCode=d3605f74-92f0-4f1c-b8e2-4ab757bffc26&amp;utm_source=referral&amp;utm_medium=share&amp;utm_campaign=job_referral" TargetMode="External"/><Relationship Id="rId4" Type="http://schemas.openxmlformats.org/officeDocument/2006/relationships/hyperlink" Target="https://jobs.micro1.ai/post/cf5d4a0d-4d70-4613-8123-c7d7919ea7a4?referralCode=d3605f74-92f0-4f1c-b8e2-4ab757bffc26&amp;utm_source=referral&amp;utm_medium=share&amp;utm_campaign=job_referral" TargetMode="External"/><Relationship Id="rId5" Type="http://schemas.openxmlformats.org/officeDocument/2006/relationships/hyperlink" Target="https://jobs.micro1.ai/post/ed3486a0-a402-431f-9a08-32077352c3f8?referralCode=d3605f74-92f0-4f1c-b8e2-4ab757bffc26&amp;utm_source=referral&amp;utm_medium=share&amp;utm_campaign=job_referral" TargetMode="External"/><Relationship Id="rId6" Type="http://schemas.openxmlformats.org/officeDocument/2006/relationships/hyperlink" Target="https://jobs.micro1.ai/post/2d965a0c-d9e1-41eb-99f5-c65ca7b5d4f2?referralCode=d3605f74-92f0-4f1c-b8e2-4ab757bffc26&amp;utm_source=referral&amp;utm_medium=share&amp;utm_campaign=job_referral" TargetMode="External"/><Relationship Id="rId7" Type="http://schemas.openxmlformats.org/officeDocument/2006/relationships/hyperlink" Target="https://jobs.micro1.ai/post/c5f03d74-f6cd-47e2-bdad-3d0da851320e?referralCode=d3605f74-92f0-4f1c-b8e2-4ab757bffc26&amp;utm_source=referral&amp;utm_medium=share&amp;utm_campaign=job_referral" TargetMode="External"/><Relationship Id="rId8" Type="http://schemas.openxmlformats.org/officeDocument/2006/relationships/hyperlink" Target="https://jobs.micro1.ai/post/190225df-d67a-402d-bd7f-d9c7c40bb693?referralCode=d3605f74-92f0-4f1c-b8e2-4ab757bffc26&amp;utm_source=referral&amp;utm_medium=share&amp;utm_campaign=job_referral" TargetMode="External"/><Relationship Id="rId9" Type="http://schemas.openxmlformats.org/officeDocument/2006/relationships/hyperlink" Target="https://jobs.micro1.ai/post/c7a75cc1-1c92-408a-8d8d-c62aebb0c634?referralCode=d3605f74-92f0-4f1c-b8e2-4ab757bffc26&amp;utm_source=referral&amp;utm_medium=share&amp;utm_campaign=job_referral" TargetMode="External"/><Relationship Id="rId10" Type="http://schemas.openxmlformats.org/officeDocument/2006/relationships/hyperlink" Target="https://jobs.micro1.ai/post/c8cdec0c-76b7-40ae-9764-fb170200408a?referralCode=d3605f74-92f0-4f1c-b8e2-4ab757bffc26&amp;utm_source=referral&amp;utm_medium=share&amp;utm_campaign=job_referral" TargetMode="External"/><Relationship Id="rId11" Type="http://schemas.openxmlformats.org/officeDocument/2006/relationships/hyperlink" Target="https://jobs.micro1.ai/post/3fee8e97-5dce-42bd-a8a1-68133f04449a?referralCode=d3605f74-92f0-4f1c-b8e2-4ab757bffc26&amp;utm_source=referral&amp;utm_medium=share&amp;utm_campaign=job_referral" TargetMode="External"/><Relationship Id="rId12"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8"/>
    <col collapsed="false" customWidth="true" hidden="false" outlineLevel="0" max="3" min="2" style="0" width="18"/>
    <col collapsed="false" customWidth="true" hidden="false" outlineLevel="0" max="4" min="4" style="0" width="10"/>
    <col collapsed="false" customWidth="true" hidden="false" outlineLevel="0" max="26" min="5" style="0" width="8.71"/>
  </cols>
  <sheetData>
    <row r="1" customFormat="false" ht="19.7" hidden="false" customHeight="false" outlineLevel="0" collapsed="false">
      <c r="A1" s="1" t="s">
        <v>0</v>
      </c>
    </row>
    <row r="2" customFormat="false" ht="15" hidden="false" customHeight="false" outlineLevel="0" collapsed="false">
      <c r="A2" s="2" t="s">
        <v>1</v>
      </c>
    </row>
    <row r="4" customFormat="false" ht="27.75" hidden="false" customHeight="true" outlineLevel="0" collapsed="false">
      <c r="A4" s="3" t="s">
        <v>2</v>
      </c>
      <c r="B4" s="3" t="s">
        <v>3</v>
      </c>
      <c r="C4" s="3" t="s">
        <v>4</v>
      </c>
      <c r="D4" s="3" t="s">
        <v>5</v>
      </c>
    </row>
    <row r="5" customFormat="false" ht="15" hidden="false" customHeight="false" outlineLevel="0" collapsed="false">
      <c r="A5" s="4" t="s">
        <v>6</v>
      </c>
      <c r="B5" s="5" t="n">
        <f aca="false">COUNTIF('Customer Support'!$E$5:$E$10,"Open*")</f>
        <v>5</v>
      </c>
      <c r="C5" s="5" t="n">
        <f aca="false">COUNTIF('Customer Support'!$E$5:$E$10,"Check*")</f>
        <v>0</v>
      </c>
      <c r="D5" s="5" t="n">
        <f aca="false">B5+C5</f>
        <v>5</v>
      </c>
    </row>
    <row r="6" customFormat="false" ht="15" hidden="false" customHeight="false" outlineLevel="0" collapsed="false">
      <c r="A6" s="4" t="s">
        <v>7</v>
      </c>
      <c r="B6" s="5" t="n">
        <f aca="false">COUNTIF('VA &amp; Admin'!$E$5:$E$9,"Open*")</f>
        <v>3</v>
      </c>
      <c r="C6" s="5" t="n">
        <f aca="false">COUNTIF('VA &amp; Admin'!$E$5:$E$9,"Check*")</f>
        <v>0</v>
      </c>
      <c r="D6" s="5" t="n">
        <f aca="false">B6+C6</f>
        <v>3</v>
      </c>
    </row>
    <row r="7" customFormat="false" ht="15" hidden="false" customHeight="false" outlineLevel="0" collapsed="false">
      <c r="A7" s="4" t="s">
        <v>8</v>
      </c>
      <c r="B7" s="5" t="n">
        <f aca="false">COUNTIF('HR &amp; Legal'!$E$5:$E$20,"Open*")</f>
        <v>13</v>
      </c>
      <c r="C7" s="5" t="n">
        <f aca="false">COUNTIF('HR &amp; Legal'!$E$5:$E$20,"Check*")</f>
        <v>0</v>
      </c>
      <c r="D7" s="5" t="n">
        <f aca="false">B7+C7</f>
        <v>13</v>
      </c>
    </row>
    <row r="8" customFormat="false" ht="15" hidden="false" customHeight="false" outlineLevel="0" collapsed="false">
      <c r="A8" s="4" t="s">
        <v>9</v>
      </c>
      <c r="B8" s="5" t="n">
        <f aca="false">COUNTIF('Languages &amp; Teaching'!$E$5:$E$7,"Open*")</f>
        <v>2</v>
      </c>
      <c r="C8" s="5" t="n">
        <f aca="false">COUNTIF('Languages &amp; Teaching'!$E$5:$E$7,"Check*")</f>
        <v>0</v>
      </c>
      <c r="D8" s="5" t="n">
        <f aca="false">B8+C8</f>
        <v>2</v>
      </c>
    </row>
    <row r="9" customFormat="false" ht="15" hidden="false" customHeight="false" outlineLevel="0" collapsed="false">
      <c r="A9" s="4" t="s">
        <v>10</v>
      </c>
      <c r="B9" s="5" t="n">
        <f aca="false">COUNTIF('Finance &amp; Accounting'!$E$5:$E$24,"Open*")</f>
        <v>17</v>
      </c>
      <c r="C9" s="5" t="n">
        <f aca="false">COUNTIF('Finance &amp; Accounting'!$E$5:$E$24,"Check*")</f>
        <v>0</v>
      </c>
      <c r="D9" s="5" t="n">
        <f aca="false">B9+C9</f>
        <v>17</v>
      </c>
    </row>
    <row r="10" customFormat="false" ht="15" hidden="false" customHeight="false" outlineLevel="0" collapsed="false">
      <c r="A10" s="4" t="s">
        <v>11</v>
      </c>
      <c r="B10" s="5" t="n">
        <f aca="false">COUNTIF('Sales &amp; Marketing'!$E$5:$E$13,"Open*")</f>
        <v>7</v>
      </c>
      <c r="C10" s="5" t="n">
        <f aca="false">COUNTIF('Sales &amp; Marketing'!$E$5:$E$13,"Check*")</f>
        <v>0</v>
      </c>
      <c r="D10" s="5" t="n">
        <f aca="false">B10+C10</f>
        <v>7</v>
      </c>
    </row>
    <row r="11" customFormat="false" ht="15" hidden="false" customHeight="false" outlineLevel="0" collapsed="false">
      <c r="A11" s="4" t="s">
        <v>12</v>
      </c>
      <c r="B11" s="5" t="n">
        <f aca="false">COUNTIF('Creative &amp; Content'!$E$5:$E$17,"Open*")</f>
        <v>10</v>
      </c>
      <c r="C11" s="5" t="n">
        <f aca="false">COUNTIF('Creative &amp; Content'!$E$5:$E$17,"Check*")</f>
        <v>0</v>
      </c>
      <c r="D11" s="5" t="n">
        <f aca="false">B11+C11</f>
        <v>10</v>
      </c>
    </row>
    <row r="12" customFormat="false" ht="15" hidden="false" customHeight="false" outlineLevel="0" collapsed="false">
      <c r="A12" s="4" t="s">
        <v>13</v>
      </c>
      <c r="B12" s="5" t="n">
        <f aca="false">COUNTIF('Tech &amp; Operations'!$E$5:$E$24,"Open*")</f>
        <v>17</v>
      </c>
      <c r="C12" s="5" t="n">
        <f aca="false">COUNTIF('Tech &amp; Operations'!$E$5:$E$24,"Check*")</f>
        <v>0</v>
      </c>
      <c r="D12" s="5" t="n">
        <f aca="false">B12+C12</f>
        <v>17</v>
      </c>
    </row>
    <row r="13" customFormat="false" ht="15" hidden="false" customHeight="false" outlineLevel="0" collapsed="false">
      <c r="A13" s="4" t="s">
        <v>14</v>
      </c>
      <c r="B13" s="5" t="n">
        <f aca="false">COUNTA('micro1 Referral'!$C$5:$C$19)</f>
        <v>11</v>
      </c>
      <c r="C13" s="5" t="n">
        <v>0</v>
      </c>
      <c r="D13" s="5" t="n">
        <f aca="false">B13+C13</f>
        <v>11</v>
      </c>
    </row>
    <row r="14" customFormat="false" ht="15" hidden="false" customHeight="false" outlineLevel="0" collapsed="false">
      <c r="A14" s="6" t="s">
        <v>5</v>
      </c>
      <c r="B14" s="7" t="n">
        <f aca="false">SUM(B5:B13)</f>
        <v>85</v>
      </c>
      <c r="C14" s="7" t="n">
        <f aca="false">SUM(C5:C13)</f>
        <v>0</v>
      </c>
      <c r="D14" s="7" t="n">
        <f aca="false">SUM(D5:D13)</f>
        <v>85</v>
      </c>
    </row>
    <row r="16" customFormat="false" ht="15" hidden="false" customHeight="false" outlineLevel="0" collapsed="false">
      <c r="A16" s="8" t="s">
        <v>15</v>
      </c>
    </row>
    <row r="17" customFormat="false" ht="60" hidden="false" customHeight="true" outlineLevel="0" collapsed="false">
      <c r="A17" s="9" t="s">
        <v>16</v>
      </c>
      <c r="B17" s="9"/>
      <c r="C17" s="9"/>
      <c r="D17" s="9"/>
    </row>
    <row r="18" customFormat="false" ht="60" hidden="false" customHeight="true" outlineLevel="0" collapsed="false">
      <c r="A18" s="9" t="s">
        <v>17</v>
      </c>
      <c r="B18" s="9"/>
      <c r="C18" s="9"/>
      <c r="D18" s="9"/>
    </row>
    <row r="19" customFormat="false" ht="60" hidden="false" customHeight="true" outlineLevel="0" collapsed="false">
      <c r="A19" s="9" t="s">
        <v>18</v>
      </c>
      <c r="B19" s="9"/>
      <c r="C19" s="9"/>
      <c r="D19" s="9"/>
    </row>
    <row r="20" customFormat="false" ht="60" hidden="false" customHeight="true" outlineLevel="0" collapsed="false">
      <c r="A20" s="9" t="s">
        <v>19</v>
      </c>
      <c r="B20" s="9"/>
      <c r="C20" s="9"/>
      <c r="D20" s="9"/>
    </row>
    <row r="21" customFormat="false" ht="60" hidden="false" customHeight="true" outlineLevel="0" collapsed="false">
      <c r="A21" s="9" t="s">
        <v>20</v>
      </c>
      <c r="B21" s="9"/>
      <c r="C21" s="9"/>
      <c r="D21" s="9"/>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A17:D17"/>
    <mergeCell ref="A18:D18"/>
    <mergeCell ref="A19:D19"/>
    <mergeCell ref="A20:D20"/>
    <mergeCell ref="A21:D21"/>
  </mergeCells>
  <hyperlinks>
    <hyperlink ref="A5" r:id="rId1" location="'Customer%20Support'!A1" display="Customer Support"/>
    <hyperlink ref="A6" r:id="rId2" location="'VA%20&amp;%20Admin'!A1" display="VA &amp; Admin"/>
    <hyperlink ref="A7" r:id="rId3" location="'HR%20&amp;%20Legal'!A1" display="HR &amp; Legal"/>
    <hyperlink ref="A8" r:id="rId4" location="'Languages%20&amp;%20Teaching'!A1" display="Languages &amp; Teaching"/>
    <hyperlink ref="A9" r:id="rId5" location="'Finance%20&amp;%20Accounting'!A1" display="Finance &amp; Accounting"/>
    <hyperlink ref="A10" r:id="rId6" location="'Sales%20&amp;%20Marketing'!A1" display="Sales &amp; Marketing"/>
    <hyperlink ref="A11" r:id="rId7" location="'Creative%20&amp;%20Content'!A1" display="Creative &amp; Content"/>
    <hyperlink ref="A12" r:id="rId8" location="'Tech%20&amp;%20Operations'!A1" display="Tech &amp; Operations"/>
    <hyperlink ref="A13" r:id="rId9" location="'micro1%20Referral'!A1" display="micro1 Referr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5" min="4" style="0" width="22"/>
    <col collapsed="false" customWidth="true" hidden="false" outlineLevel="0" max="6" min="6" style="0" width="14"/>
    <col collapsed="false" customWidth="true" hidden="false" outlineLevel="0" max="7" min="7" style="0" width="2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38"/>
    <col collapsed="false" customWidth="true" hidden="false" outlineLevel="0" max="26" min="13" style="0" width="8.71"/>
  </cols>
  <sheetData>
    <row r="1" customFormat="false" ht="17.35" hidden="false" customHeight="false" outlineLevel="0" collapsed="false">
      <c r="A1" s="10" t="s">
        <v>21</v>
      </c>
    </row>
    <row r="2" customFormat="false" ht="15" hidden="false" customHeight="false" outlineLevel="0" collapsed="false">
      <c r="A2" s="11" t="s">
        <v>22</v>
      </c>
    </row>
    <row r="4" customFormat="false" ht="25.5" hidden="false" customHeight="true" outlineLevel="0" collapsed="false">
      <c r="A4" s="3" t="s">
        <v>23</v>
      </c>
      <c r="B4" s="3" t="s">
        <v>24</v>
      </c>
      <c r="C4" s="3" t="s">
        <v>25</v>
      </c>
      <c r="D4" s="3" t="s">
        <v>26</v>
      </c>
      <c r="E4" s="3" t="s">
        <v>27</v>
      </c>
      <c r="F4" s="3" t="s">
        <v>28</v>
      </c>
      <c r="G4" s="3" t="s">
        <v>29</v>
      </c>
      <c r="H4" s="3" t="s">
        <v>30</v>
      </c>
      <c r="I4" s="3" t="s">
        <v>31</v>
      </c>
      <c r="J4" s="3" t="s">
        <v>32</v>
      </c>
      <c r="K4" s="3" t="s">
        <v>33</v>
      </c>
      <c r="L4" s="3" t="s">
        <v>34</v>
      </c>
    </row>
    <row r="5" customFormat="false" ht="15" hidden="false" customHeight="false" outlineLevel="0" collapsed="false">
      <c r="A5" s="12" t="s">
        <v>35</v>
      </c>
      <c r="B5" s="13"/>
      <c r="C5" s="13"/>
      <c r="D5" s="13"/>
      <c r="E5" s="13"/>
      <c r="F5" s="13"/>
      <c r="G5" s="13"/>
      <c r="H5" s="13"/>
      <c r="I5" s="13"/>
      <c r="J5" s="13"/>
      <c r="K5" s="13"/>
      <c r="L5" s="13"/>
    </row>
    <row r="6" customFormat="false" ht="35.05" hidden="false" customHeight="false" outlineLevel="0" collapsed="false">
      <c r="A6" s="14" t="n">
        <v>1</v>
      </c>
      <c r="B6" s="15" t="s">
        <v>36</v>
      </c>
      <c r="C6" s="15" t="s">
        <v>37</v>
      </c>
      <c r="D6" s="14" t="s">
        <v>38</v>
      </c>
      <c r="E6" s="14" t="s">
        <v>3</v>
      </c>
      <c r="F6" s="14" t="s">
        <v>39</v>
      </c>
      <c r="G6" s="15" t="s">
        <v>40</v>
      </c>
      <c r="H6" s="15" t="s">
        <v>41</v>
      </c>
      <c r="I6" s="14" t="s">
        <v>42</v>
      </c>
      <c r="J6" s="14" t="s">
        <v>43</v>
      </c>
      <c r="K6" s="16" t="s">
        <v>44</v>
      </c>
      <c r="L6" s="15" t="s">
        <v>45</v>
      </c>
    </row>
    <row r="7" customFormat="false" ht="35.05" hidden="false" customHeight="false" outlineLevel="0" collapsed="false">
      <c r="A7" s="14" t="n">
        <v>2</v>
      </c>
      <c r="B7" s="15" t="s">
        <v>36</v>
      </c>
      <c r="C7" s="15" t="s">
        <v>46</v>
      </c>
      <c r="D7" s="14" t="s">
        <v>38</v>
      </c>
      <c r="E7" s="14" t="s">
        <v>3</v>
      </c>
      <c r="F7" s="14" t="s">
        <v>39</v>
      </c>
      <c r="G7" s="15" t="s">
        <v>40</v>
      </c>
      <c r="H7" s="15" t="s">
        <v>47</v>
      </c>
      <c r="I7" s="14" t="s">
        <v>42</v>
      </c>
      <c r="J7" s="14" t="s">
        <v>48</v>
      </c>
      <c r="K7" s="16" t="s">
        <v>44</v>
      </c>
      <c r="L7" s="15" t="s">
        <v>49</v>
      </c>
    </row>
    <row r="8" customFormat="false" ht="23.85" hidden="false" customHeight="false" outlineLevel="0" collapsed="false">
      <c r="A8" s="14" t="n">
        <v>3</v>
      </c>
      <c r="B8" s="15" t="s">
        <v>50</v>
      </c>
      <c r="C8" s="15" t="s">
        <v>51</v>
      </c>
      <c r="D8" s="14" t="s">
        <v>52</v>
      </c>
      <c r="E8" s="14" t="s">
        <v>3</v>
      </c>
      <c r="F8" s="14" t="s">
        <v>53</v>
      </c>
      <c r="G8" s="15" t="s">
        <v>54</v>
      </c>
      <c r="H8" s="15" t="s">
        <v>55</v>
      </c>
      <c r="I8" s="14" t="s">
        <v>56</v>
      </c>
      <c r="J8" s="14" t="s">
        <v>57</v>
      </c>
      <c r="K8" s="16" t="s">
        <v>44</v>
      </c>
      <c r="L8" s="15" t="s">
        <v>58</v>
      </c>
    </row>
    <row r="9" customFormat="false" ht="35.05" hidden="false" customHeight="false" outlineLevel="0" collapsed="false">
      <c r="A9" s="14" t="n">
        <v>4</v>
      </c>
      <c r="B9" s="15" t="s">
        <v>59</v>
      </c>
      <c r="C9" s="15" t="s">
        <v>60</v>
      </c>
      <c r="D9" s="14" t="s">
        <v>61</v>
      </c>
      <c r="E9" s="14" t="s">
        <v>3</v>
      </c>
      <c r="F9" s="14" t="s">
        <v>62</v>
      </c>
      <c r="G9" s="15" t="s">
        <v>63</v>
      </c>
      <c r="H9" s="15" t="s">
        <v>64</v>
      </c>
      <c r="I9" s="14" t="s">
        <v>56</v>
      </c>
      <c r="J9" s="14" t="s">
        <v>65</v>
      </c>
      <c r="K9" s="16" t="s">
        <v>44</v>
      </c>
      <c r="L9" s="15" t="s">
        <v>66</v>
      </c>
    </row>
    <row r="10" customFormat="false" ht="23.85" hidden="false" customHeight="false" outlineLevel="0" collapsed="false">
      <c r="A10" s="14" t="n">
        <v>5</v>
      </c>
      <c r="B10" s="15" t="s">
        <v>67</v>
      </c>
      <c r="C10" s="15" t="s">
        <v>68</v>
      </c>
      <c r="D10" s="14" t="s">
        <v>69</v>
      </c>
      <c r="E10" s="14" t="s">
        <v>3</v>
      </c>
      <c r="F10" s="14" t="s">
        <v>70</v>
      </c>
      <c r="G10" s="15" t="s">
        <v>63</v>
      </c>
      <c r="H10" s="15" t="s">
        <v>71</v>
      </c>
      <c r="I10" s="14" t="s">
        <v>42</v>
      </c>
      <c r="J10" s="14" t="s">
        <v>72</v>
      </c>
      <c r="K10" s="16" t="s">
        <v>44</v>
      </c>
      <c r="L10" s="15"/>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10"/>
  <conditionalFormatting sqref="E5:E10">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8" r:id="rId3" display="Apply ↗"/>
    <hyperlink ref="K9" r:id="rId4" display="Apply ↗"/>
    <hyperlink ref="K10" r:id="rId5"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5" min="4" style="0" width="22"/>
    <col collapsed="false" customWidth="true" hidden="false" outlineLevel="0" max="6" min="6" style="0" width="14"/>
    <col collapsed="false" customWidth="true" hidden="false" outlineLevel="0" max="7" min="7" style="0" width="2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38"/>
    <col collapsed="false" customWidth="true" hidden="false" outlineLevel="0" max="26" min="13" style="0" width="8.71"/>
  </cols>
  <sheetData>
    <row r="1" customFormat="false" ht="17.35" hidden="false" customHeight="false" outlineLevel="0" collapsed="false">
      <c r="A1" s="10" t="s">
        <v>73</v>
      </c>
    </row>
    <row r="2" customFormat="false" ht="15" hidden="false" customHeight="false" outlineLevel="0" collapsed="false">
      <c r="A2" s="11" t="s">
        <v>22</v>
      </c>
    </row>
    <row r="4" customFormat="false" ht="25.5" hidden="false" customHeight="true" outlineLevel="0" collapsed="false">
      <c r="A4" s="3" t="s">
        <v>23</v>
      </c>
      <c r="B4" s="3" t="s">
        <v>24</v>
      </c>
      <c r="C4" s="3" t="s">
        <v>25</v>
      </c>
      <c r="D4" s="3" t="s">
        <v>26</v>
      </c>
      <c r="E4" s="3" t="s">
        <v>27</v>
      </c>
      <c r="F4" s="3" t="s">
        <v>28</v>
      </c>
      <c r="G4" s="3" t="s">
        <v>29</v>
      </c>
      <c r="H4" s="3" t="s">
        <v>30</v>
      </c>
      <c r="I4" s="3" t="s">
        <v>31</v>
      </c>
      <c r="J4" s="3" t="s">
        <v>32</v>
      </c>
      <c r="K4" s="3" t="s">
        <v>33</v>
      </c>
      <c r="L4" s="3" t="s">
        <v>34</v>
      </c>
    </row>
    <row r="5" customFormat="false" ht="15" hidden="false" customHeight="false" outlineLevel="0" collapsed="false">
      <c r="A5" s="12" t="s">
        <v>35</v>
      </c>
      <c r="B5" s="13"/>
      <c r="C5" s="13"/>
      <c r="D5" s="13"/>
      <c r="E5" s="13"/>
      <c r="F5" s="13"/>
      <c r="G5" s="13"/>
      <c r="H5" s="13"/>
      <c r="I5" s="13"/>
      <c r="J5" s="13"/>
      <c r="K5" s="13"/>
      <c r="L5" s="13"/>
    </row>
    <row r="6" customFormat="false" ht="35.05" hidden="false" customHeight="false" outlineLevel="0" collapsed="false">
      <c r="A6" s="14" t="n">
        <v>1</v>
      </c>
      <c r="B6" s="15" t="s">
        <v>36</v>
      </c>
      <c r="C6" s="15" t="s">
        <v>74</v>
      </c>
      <c r="D6" s="14" t="s">
        <v>38</v>
      </c>
      <c r="E6" s="14" t="s">
        <v>3</v>
      </c>
      <c r="F6" s="14" t="s">
        <v>75</v>
      </c>
      <c r="G6" s="15" t="s">
        <v>40</v>
      </c>
      <c r="H6" s="15" t="s">
        <v>76</v>
      </c>
      <c r="I6" s="14" t="s">
        <v>42</v>
      </c>
      <c r="J6" s="14" t="s">
        <v>77</v>
      </c>
      <c r="K6" s="16" t="s">
        <v>44</v>
      </c>
      <c r="L6" s="15" t="s">
        <v>49</v>
      </c>
    </row>
    <row r="7" customFormat="false" ht="15" hidden="false" customHeight="false" outlineLevel="0" collapsed="false">
      <c r="A7" s="12" t="s">
        <v>78</v>
      </c>
      <c r="B7" s="13"/>
      <c r="C7" s="13"/>
      <c r="D7" s="13"/>
      <c r="E7" s="13"/>
      <c r="F7" s="13"/>
      <c r="G7" s="13"/>
      <c r="H7" s="13"/>
      <c r="I7" s="13"/>
      <c r="J7" s="13"/>
      <c r="K7" s="13"/>
      <c r="L7" s="13"/>
    </row>
    <row r="8" customFormat="false" ht="23.85" hidden="false" customHeight="false" outlineLevel="0" collapsed="false">
      <c r="A8" s="14" t="n">
        <v>2</v>
      </c>
      <c r="B8" s="15" t="s">
        <v>79</v>
      </c>
      <c r="C8" s="15" t="s">
        <v>80</v>
      </c>
      <c r="D8" s="14" t="s">
        <v>61</v>
      </c>
      <c r="E8" s="14" t="s">
        <v>3</v>
      </c>
      <c r="F8" s="14" t="s">
        <v>81</v>
      </c>
      <c r="G8" s="15" t="s">
        <v>63</v>
      </c>
      <c r="H8" s="15" t="s">
        <v>82</v>
      </c>
      <c r="I8" s="14" t="s">
        <v>56</v>
      </c>
      <c r="J8" s="14" t="s">
        <v>83</v>
      </c>
      <c r="K8" s="16" t="s">
        <v>44</v>
      </c>
      <c r="L8" s="15" t="s">
        <v>84</v>
      </c>
    </row>
    <row r="9" customFormat="false" ht="23.85" hidden="false" customHeight="false" outlineLevel="0" collapsed="false">
      <c r="A9" s="14" t="n">
        <v>3</v>
      </c>
      <c r="B9" s="15" t="s">
        <v>85</v>
      </c>
      <c r="C9" s="15" t="s">
        <v>86</v>
      </c>
      <c r="D9" s="14" t="s">
        <v>87</v>
      </c>
      <c r="E9" s="14" t="s">
        <v>3</v>
      </c>
      <c r="F9" s="14" t="s">
        <v>70</v>
      </c>
      <c r="G9" s="15" t="s">
        <v>88</v>
      </c>
      <c r="H9" s="15" t="s">
        <v>89</v>
      </c>
      <c r="I9" s="14" t="s">
        <v>90</v>
      </c>
      <c r="J9" s="14" t="s">
        <v>72</v>
      </c>
      <c r="K9" s="16" t="s">
        <v>44</v>
      </c>
      <c r="L9" s="15" t="s">
        <v>91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9"/>
  <conditionalFormatting sqref="E5:E9">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8" r:id="rId2" display="Apply ↗"/>
    <hyperlink ref="K9" r:id="rId3"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5" min="4" style="0" width="22"/>
    <col collapsed="false" customWidth="true" hidden="false" outlineLevel="0" max="6" min="6" style="0" width="14"/>
    <col collapsed="false" customWidth="true" hidden="false" outlineLevel="0" max="7" min="7" style="0" width="2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38"/>
    <col collapsed="false" customWidth="true" hidden="false" outlineLevel="0" max="26" min="13" style="0" width="8.71"/>
  </cols>
  <sheetData>
    <row r="1" customFormat="false" ht="17.35" hidden="false" customHeight="false" outlineLevel="0" collapsed="false">
      <c r="A1" s="10" t="s">
        <v>92</v>
      </c>
    </row>
    <row r="2" customFormat="false" ht="15" hidden="false" customHeight="false" outlineLevel="0" collapsed="false">
      <c r="A2" s="11" t="s">
        <v>22</v>
      </c>
    </row>
    <row r="4" customFormat="false" ht="25.5" hidden="false" customHeight="true" outlineLevel="0" collapsed="false">
      <c r="A4" s="3" t="s">
        <v>23</v>
      </c>
      <c r="B4" s="3" t="s">
        <v>24</v>
      </c>
      <c r="C4" s="3" t="s">
        <v>25</v>
      </c>
      <c r="D4" s="3" t="s">
        <v>26</v>
      </c>
      <c r="E4" s="3" t="s">
        <v>27</v>
      </c>
      <c r="F4" s="3" t="s">
        <v>28</v>
      </c>
      <c r="G4" s="3" t="s">
        <v>29</v>
      </c>
      <c r="H4" s="3" t="s">
        <v>30</v>
      </c>
      <c r="I4" s="3" t="s">
        <v>31</v>
      </c>
      <c r="J4" s="3" t="s">
        <v>32</v>
      </c>
      <c r="K4" s="3" t="s">
        <v>33</v>
      </c>
      <c r="L4" s="3" t="s">
        <v>34</v>
      </c>
    </row>
    <row r="5" customFormat="false" ht="15" hidden="false" customHeight="false" outlineLevel="0" collapsed="false">
      <c r="A5" s="12" t="s">
        <v>35</v>
      </c>
      <c r="B5" s="13"/>
      <c r="C5" s="13"/>
      <c r="D5" s="13"/>
      <c r="E5" s="13"/>
      <c r="F5" s="13"/>
      <c r="G5" s="13"/>
      <c r="H5" s="13"/>
      <c r="I5" s="13"/>
      <c r="J5" s="13"/>
      <c r="K5" s="13"/>
      <c r="L5" s="13"/>
    </row>
    <row r="6" customFormat="false" ht="35.05" hidden="false" customHeight="false" outlineLevel="0" collapsed="false">
      <c r="A6" s="14" t="n">
        <v>1</v>
      </c>
      <c r="B6" s="15" t="s">
        <v>36</v>
      </c>
      <c r="C6" s="15" t="s">
        <v>93</v>
      </c>
      <c r="D6" s="14" t="s">
        <v>38</v>
      </c>
      <c r="E6" s="14" t="s">
        <v>3</v>
      </c>
      <c r="F6" s="14" t="s">
        <v>39</v>
      </c>
      <c r="G6" s="15" t="s">
        <v>40</v>
      </c>
      <c r="H6" s="15" t="s">
        <v>94</v>
      </c>
      <c r="I6" s="14" t="s">
        <v>42</v>
      </c>
      <c r="J6" s="14" t="s">
        <v>95</v>
      </c>
      <c r="K6" s="16" t="s">
        <v>44</v>
      </c>
      <c r="L6" s="15" t="s">
        <v>96</v>
      </c>
    </row>
    <row r="7" customFormat="false" ht="23.85" hidden="false" customHeight="false" outlineLevel="0" collapsed="false">
      <c r="A7" s="14" t="n">
        <v>2</v>
      </c>
      <c r="B7" s="15" t="s">
        <v>97</v>
      </c>
      <c r="C7" s="15" t="s">
        <v>98</v>
      </c>
      <c r="D7" s="14" t="s">
        <v>69</v>
      </c>
      <c r="E7" s="14" t="s">
        <v>3</v>
      </c>
      <c r="F7" s="14" t="s">
        <v>70</v>
      </c>
      <c r="G7" s="15" t="s">
        <v>63</v>
      </c>
      <c r="H7" s="15" t="s">
        <v>99</v>
      </c>
      <c r="I7" s="14" t="s">
        <v>42</v>
      </c>
      <c r="J7" s="14" t="s">
        <v>100</v>
      </c>
      <c r="K7" s="16" t="s">
        <v>44</v>
      </c>
      <c r="L7" s="15"/>
    </row>
    <row r="8" customFormat="false" ht="15" hidden="false" customHeight="false" outlineLevel="0" collapsed="false">
      <c r="A8" s="12" t="s">
        <v>78</v>
      </c>
      <c r="B8" s="13"/>
      <c r="C8" s="13"/>
      <c r="D8" s="13"/>
      <c r="E8" s="13"/>
      <c r="F8" s="13"/>
      <c r="G8" s="13"/>
      <c r="H8" s="13"/>
      <c r="I8" s="13"/>
      <c r="J8" s="13"/>
      <c r="K8" s="13"/>
      <c r="L8" s="13"/>
    </row>
    <row r="9" customFormat="false" ht="35.05" hidden="false" customHeight="false" outlineLevel="0" collapsed="false">
      <c r="A9" s="14" t="n">
        <v>3</v>
      </c>
      <c r="B9" s="15" t="s">
        <v>101</v>
      </c>
      <c r="C9" s="15" t="s">
        <v>102</v>
      </c>
      <c r="D9" s="14" t="s">
        <v>103</v>
      </c>
      <c r="E9" s="14" t="s">
        <v>3</v>
      </c>
      <c r="F9" s="14" t="s">
        <v>104</v>
      </c>
      <c r="G9" s="15" t="s">
        <v>105</v>
      </c>
      <c r="H9" s="15" t="s">
        <v>106</v>
      </c>
      <c r="I9" s="14" t="s">
        <v>56</v>
      </c>
      <c r="J9" s="14" t="s">
        <v>107</v>
      </c>
      <c r="K9" s="16" t="s">
        <v>44</v>
      </c>
      <c r="L9" s="15" t="s">
        <v>108</v>
      </c>
    </row>
    <row r="10" customFormat="false" ht="23.85" hidden="false" customHeight="false" outlineLevel="0" collapsed="false">
      <c r="A10" s="14" t="n">
        <v>4</v>
      </c>
      <c r="B10" s="15" t="s">
        <v>79</v>
      </c>
      <c r="C10" s="15" t="s">
        <v>109</v>
      </c>
      <c r="D10" s="14" t="s">
        <v>61</v>
      </c>
      <c r="E10" s="14" t="s">
        <v>3</v>
      </c>
      <c r="F10" s="14" t="s">
        <v>70</v>
      </c>
      <c r="G10" s="15" t="s">
        <v>63</v>
      </c>
      <c r="H10" s="15" t="s">
        <v>110</v>
      </c>
      <c r="I10" s="14" t="s">
        <v>56</v>
      </c>
      <c r="J10" s="14" t="s">
        <v>83</v>
      </c>
      <c r="K10" s="16" t="s">
        <v>44</v>
      </c>
      <c r="L10" s="15"/>
    </row>
    <row r="11" customFormat="false" ht="23.85" hidden="false" customHeight="false" outlineLevel="0" collapsed="false">
      <c r="A11" s="14" t="n">
        <v>5</v>
      </c>
      <c r="B11" s="15" t="s">
        <v>111</v>
      </c>
      <c r="C11" s="15" t="s">
        <v>112</v>
      </c>
      <c r="D11" s="14" t="s">
        <v>61</v>
      </c>
      <c r="E11" s="14" t="s">
        <v>3</v>
      </c>
      <c r="F11" s="14" t="s">
        <v>75</v>
      </c>
      <c r="G11" s="15" t="s">
        <v>63</v>
      </c>
      <c r="H11" s="15" t="s">
        <v>113</v>
      </c>
      <c r="I11" s="14" t="s">
        <v>56</v>
      </c>
      <c r="J11" s="14" t="s">
        <v>83</v>
      </c>
      <c r="K11" s="16" t="s">
        <v>44</v>
      </c>
      <c r="L11" s="15"/>
    </row>
    <row r="12" customFormat="false" ht="35.05" hidden="false" customHeight="false" outlineLevel="0" collapsed="false">
      <c r="A12" s="14" t="n">
        <v>6</v>
      </c>
      <c r="B12" s="15" t="s">
        <v>114</v>
      </c>
      <c r="C12" s="15" t="s">
        <v>115</v>
      </c>
      <c r="D12" s="14" t="s">
        <v>61</v>
      </c>
      <c r="E12" s="14" t="s">
        <v>3</v>
      </c>
      <c r="F12" s="14" t="s">
        <v>116</v>
      </c>
      <c r="G12" s="15" t="s">
        <v>63</v>
      </c>
      <c r="H12" s="15" t="s">
        <v>117</v>
      </c>
      <c r="I12" s="14" t="s">
        <v>56</v>
      </c>
      <c r="J12" s="14" t="s">
        <v>83</v>
      </c>
      <c r="K12" s="16" t="s">
        <v>44</v>
      </c>
      <c r="L12" s="15" t="s">
        <v>118</v>
      </c>
    </row>
    <row r="13" customFormat="false" ht="23.85" hidden="false" customHeight="false" outlineLevel="0" collapsed="false">
      <c r="A13" s="14" t="n">
        <v>7</v>
      </c>
      <c r="B13" s="15" t="s">
        <v>111</v>
      </c>
      <c r="C13" s="15" t="s">
        <v>119</v>
      </c>
      <c r="D13" s="14" t="s">
        <v>61</v>
      </c>
      <c r="E13" s="14" t="s">
        <v>3</v>
      </c>
      <c r="F13" s="14" t="s">
        <v>120</v>
      </c>
      <c r="G13" s="15" t="s">
        <v>63</v>
      </c>
      <c r="H13" s="15" t="s">
        <v>121</v>
      </c>
      <c r="I13" s="14" t="s">
        <v>56</v>
      </c>
      <c r="J13" s="14" t="s">
        <v>83</v>
      </c>
      <c r="K13" s="16" t="s">
        <v>44</v>
      </c>
      <c r="L13" s="15"/>
    </row>
    <row r="14" customFormat="false" ht="35.05" hidden="false" customHeight="false" outlineLevel="0" collapsed="false">
      <c r="A14" s="14" t="n">
        <v>8</v>
      </c>
      <c r="B14" s="15" t="s">
        <v>122</v>
      </c>
      <c r="C14" s="15" t="s">
        <v>123</v>
      </c>
      <c r="D14" s="14" t="s">
        <v>124</v>
      </c>
      <c r="E14" s="14" t="s">
        <v>3</v>
      </c>
      <c r="F14" s="14" t="s">
        <v>125</v>
      </c>
      <c r="G14" s="15" t="s">
        <v>63</v>
      </c>
      <c r="H14" s="15" t="s">
        <v>126</v>
      </c>
      <c r="I14" s="14" t="s">
        <v>56</v>
      </c>
      <c r="J14" s="14" t="s">
        <v>127</v>
      </c>
      <c r="K14" s="16" t="s">
        <v>44</v>
      </c>
      <c r="L14" s="15" t="s">
        <v>128</v>
      </c>
    </row>
    <row r="15" customFormat="false" ht="35.05" hidden="false" customHeight="false" outlineLevel="0" collapsed="false">
      <c r="A15" s="14" t="n">
        <v>9</v>
      </c>
      <c r="B15" s="15" t="s">
        <v>129</v>
      </c>
      <c r="C15" s="15" t="s">
        <v>130</v>
      </c>
      <c r="D15" s="14" t="s">
        <v>131</v>
      </c>
      <c r="E15" s="14" t="s">
        <v>3</v>
      </c>
      <c r="F15" s="14" t="s">
        <v>132</v>
      </c>
      <c r="G15" s="15" t="s">
        <v>63</v>
      </c>
      <c r="H15" s="15" t="s">
        <v>133</v>
      </c>
      <c r="I15" s="14" t="s">
        <v>134</v>
      </c>
      <c r="J15" s="14" t="s">
        <v>135</v>
      </c>
      <c r="K15" s="16" t="s">
        <v>44</v>
      </c>
      <c r="L15" s="15" t="s">
        <v>136</v>
      </c>
    </row>
    <row r="16" customFormat="false" ht="15" hidden="false" customHeight="false" outlineLevel="0" collapsed="false">
      <c r="A16" s="12" t="s">
        <v>137</v>
      </c>
      <c r="B16" s="13"/>
      <c r="C16" s="13"/>
      <c r="D16" s="13"/>
      <c r="E16" s="13"/>
      <c r="F16" s="13"/>
      <c r="G16" s="13"/>
      <c r="H16" s="13"/>
      <c r="I16" s="13"/>
      <c r="J16" s="13"/>
      <c r="K16" s="13"/>
      <c r="L16" s="13"/>
    </row>
    <row r="17" customFormat="false" ht="23.85" hidden="false" customHeight="false" outlineLevel="0" collapsed="false">
      <c r="A17" s="14" t="n">
        <v>10</v>
      </c>
      <c r="B17" s="15" t="s">
        <v>138</v>
      </c>
      <c r="C17" s="15" t="s">
        <v>139</v>
      </c>
      <c r="D17" s="14" t="s">
        <v>124</v>
      </c>
      <c r="E17" s="14" t="s">
        <v>3</v>
      </c>
      <c r="F17" s="14" t="s">
        <v>140</v>
      </c>
      <c r="G17" s="15" t="s">
        <v>63</v>
      </c>
      <c r="H17" s="15" t="s">
        <v>141</v>
      </c>
      <c r="I17" s="14" t="s">
        <v>56</v>
      </c>
      <c r="J17" s="14" t="s">
        <v>142</v>
      </c>
      <c r="K17" s="16" t="s">
        <v>44</v>
      </c>
      <c r="L17" s="15" t="s">
        <v>143</v>
      </c>
    </row>
    <row r="18" customFormat="false" ht="23.85" hidden="false" customHeight="false" outlineLevel="0" collapsed="false">
      <c r="A18" s="14" t="n">
        <v>11</v>
      </c>
      <c r="B18" s="15" t="s">
        <v>138</v>
      </c>
      <c r="C18" s="15" t="s">
        <v>144</v>
      </c>
      <c r="D18" s="14" t="s">
        <v>124</v>
      </c>
      <c r="E18" s="14" t="s">
        <v>3</v>
      </c>
      <c r="F18" s="14" t="s">
        <v>145</v>
      </c>
      <c r="G18" s="15" t="s">
        <v>63</v>
      </c>
      <c r="H18" s="15" t="s">
        <v>146</v>
      </c>
      <c r="I18" s="14" t="s">
        <v>56</v>
      </c>
      <c r="J18" s="14" t="s">
        <v>127</v>
      </c>
      <c r="K18" s="16" t="s">
        <v>44</v>
      </c>
      <c r="L18" s="15"/>
    </row>
    <row r="19" customFormat="false" ht="23.85" hidden="false" customHeight="false" outlineLevel="0" collapsed="false">
      <c r="A19" s="14" t="n">
        <v>12</v>
      </c>
      <c r="B19" s="15" t="s">
        <v>147</v>
      </c>
      <c r="C19" s="15" t="s">
        <v>148</v>
      </c>
      <c r="D19" s="14" t="s">
        <v>124</v>
      </c>
      <c r="E19" s="14" t="s">
        <v>3</v>
      </c>
      <c r="F19" s="14" t="s">
        <v>149</v>
      </c>
      <c r="G19" s="15" t="s">
        <v>63</v>
      </c>
      <c r="H19" s="15" t="s">
        <v>150</v>
      </c>
      <c r="I19" s="14" t="s">
        <v>56</v>
      </c>
      <c r="J19" s="14" t="s">
        <v>127</v>
      </c>
      <c r="K19" s="16" t="s">
        <v>44</v>
      </c>
      <c r="L19" s="15"/>
    </row>
    <row r="20" customFormat="false" ht="23.85" hidden="false" customHeight="false" outlineLevel="0" collapsed="false">
      <c r="A20" s="14" t="n">
        <v>13</v>
      </c>
      <c r="B20" s="15" t="s">
        <v>138</v>
      </c>
      <c r="C20" s="15" t="s">
        <v>151</v>
      </c>
      <c r="D20" s="14" t="s">
        <v>124</v>
      </c>
      <c r="E20" s="14" t="s">
        <v>3</v>
      </c>
      <c r="F20" s="14" t="s">
        <v>152</v>
      </c>
      <c r="G20" s="15" t="s">
        <v>153</v>
      </c>
      <c r="H20" s="15" t="s">
        <v>154</v>
      </c>
      <c r="I20" s="14" t="s">
        <v>56</v>
      </c>
      <c r="J20" s="14" t="s">
        <v>155</v>
      </c>
      <c r="K20" s="16" t="s">
        <v>44</v>
      </c>
      <c r="L20" s="15" t="s">
        <v>143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20"/>
  <conditionalFormatting sqref="E5:E20">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9" r:id="rId3" display="Apply ↗"/>
    <hyperlink ref="K10" r:id="rId4" display="Apply ↗"/>
    <hyperlink ref="K11" r:id="rId5" display="Apply ↗"/>
    <hyperlink ref="K12" r:id="rId6" display="Apply ↗"/>
    <hyperlink ref="K13" r:id="rId7" display="Apply ↗"/>
    <hyperlink ref="K14" r:id="rId8" display="Apply ↗"/>
    <hyperlink ref="K15" r:id="rId9" display="Apply ↗"/>
    <hyperlink ref="K17" r:id="rId10" display="Apply ↗"/>
    <hyperlink ref="K18" r:id="rId11" display="Apply ↗"/>
    <hyperlink ref="K19" r:id="rId12" display="Apply ↗"/>
    <hyperlink ref="K20" r:id="rId13"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5" min="4" style="0" width="22"/>
    <col collapsed="false" customWidth="true" hidden="false" outlineLevel="0" max="6" min="6" style="0" width="14"/>
    <col collapsed="false" customWidth="true" hidden="false" outlineLevel="0" max="7" min="7" style="0" width="2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38"/>
    <col collapsed="false" customWidth="true" hidden="false" outlineLevel="0" max="26" min="13" style="0" width="8.71"/>
  </cols>
  <sheetData>
    <row r="1" customFormat="false" ht="17.35" hidden="false" customHeight="false" outlineLevel="0" collapsed="false">
      <c r="A1" s="10" t="s">
        <v>156</v>
      </c>
    </row>
    <row r="2" customFormat="false" ht="15" hidden="false" customHeight="false" outlineLevel="0" collapsed="false">
      <c r="A2" s="11" t="s">
        <v>22</v>
      </c>
    </row>
    <row r="4" customFormat="false" ht="25.5" hidden="false" customHeight="true" outlineLevel="0" collapsed="false">
      <c r="A4" s="3" t="s">
        <v>23</v>
      </c>
      <c r="B4" s="3" t="s">
        <v>24</v>
      </c>
      <c r="C4" s="3" t="s">
        <v>25</v>
      </c>
      <c r="D4" s="3" t="s">
        <v>26</v>
      </c>
      <c r="E4" s="3" t="s">
        <v>27</v>
      </c>
      <c r="F4" s="3" t="s">
        <v>28</v>
      </c>
      <c r="G4" s="3" t="s">
        <v>29</v>
      </c>
      <c r="H4" s="3" t="s">
        <v>30</v>
      </c>
      <c r="I4" s="3" t="s">
        <v>31</v>
      </c>
      <c r="J4" s="3" t="s">
        <v>32</v>
      </c>
      <c r="K4" s="3" t="s">
        <v>33</v>
      </c>
      <c r="L4" s="3" t="s">
        <v>34</v>
      </c>
    </row>
    <row r="5" customFormat="false" ht="15" hidden="false" customHeight="false" outlineLevel="0" collapsed="false">
      <c r="A5" s="12" t="s">
        <v>137</v>
      </c>
      <c r="B5" s="13"/>
      <c r="C5" s="13"/>
      <c r="D5" s="13"/>
      <c r="E5" s="13"/>
      <c r="F5" s="13"/>
      <c r="G5" s="13"/>
      <c r="H5" s="13"/>
      <c r="I5" s="13"/>
      <c r="J5" s="13"/>
      <c r="K5" s="13"/>
      <c r="L5" s="13"/>
    </row>
    <row r="6" customFormat="false" ht="23.85" hidden="false" customHeight="false" outlineLevel="0" collapsed="false">
      <c r="A6" s="14" t="n">
        <v>1</v>
      </c>
      <c r="B6" s="15" t="s">
        <v>157</v>
      </c>
      <c r="C6" s="15" t="s">
        <v>158</v>
      </c>
      <c r="D6" s="14" t="s">
        <v>159</v>
      </c>
      <c r="E6" s="14" t="s">
        <v>3</v>
      </c>
      <c r="F6" s="14" t="s">
        <v>160</v>
      </c>
      <c r="G6" s="15" t="s">
        <v>161</v>
      </c>
      <c r="H6" s="15" t="s">
        <v>162</v>
      </c>
      <c r="I6" s="14" t="s">
        <v>163</v>
      </c>
      <c r="J6" s="14" t="s">
        <v>83</v>
      </c>
      <c r="K6" s="16" t="s">
        <v>44</v>
      </c>
      <c r="L6" s="15"/>
    </row>
    <row r="7" customFormat="false" ht="23.85" hidden="false" customHeight="false" outlineLevel="0" collapsed="false">
      <c r="A7" s="14" t="n">
        <v>2</v>
      </c>
      <c r="B7" s="15" t="s">
        <v>157</v>
      </c>
      <c r="C7" s="15" t="s">
        <v>164</v>
      </c>
      <c r="D7" s="14" t="s">
        <v>165</v>
      </c>
      <c r="E7" s="14" t="s">
        <v>3</v>
      </c>
      <c r="F7" s="14" t="s">
        <v>166</v>
      </c>
      <c r="G7" s="15" t="s">
        <v>63</v>
      </c>
      <c r="H7" s="15" t="s">
        <v>167</v>
      </c>
      <c r="I7" s="14" t="s">
        <v>163</v>
      </c>
      <c r="J7" s="14" t="s">
        <v>83</v>
      </c>
      <c r="K7" s="16" t="s">
        <v>44</v>
      </c>
      <c r="L7" s="15"/>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7"/>
  <conditionalFormatting sqref="E5:E7">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5" min="4" style="0" width="22"/>
    <col collapsed="false" customWidth="true" hidden="false" outlineLevel="0" max="6" min="6" style="0" width="14"/>
    <col collapsed="false" customWidth="true" hidden="false" outlineLevel="0" max="7" min="7" style="0" width="2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38"/>
    <col collapsed="false" customWidth="true" hidden="false" outlineLevel="0" max="26" min="13" style="0" width="8.71"/>
  </cols>
  <sheetData>
    <row r="1" customFormat="false" ht="17.35" hidden="false" customHeight="false" outlineLevel="0" collapsed="false">
      <c r="A1" s="10" t="s">
        <v>168</v>
      </c>
    </row>
    <row r="2" customFormat="false" ht="15" hidden="false" customHeight="false" outlineLevel="0" collapsed="false">
      <c r="A2" s="11" t="s">
        <v>22</v>
      </c>
    </row>
    <row r="4" customFormat="false" ht="25.5" hidden="false" customHeight="true" outlineLevel="0" collapsed="false">
      <c r="A4" s="3" t="s">
        <v>23</v>
      </c>
      <c r="B4" s="3" t="s">
        <v>24</v>
      </c>
      <c r="C4" s="3" t="s">
        <v>25</v>
      </c>
      <c r="D4" s="3" t="s">
        <v>26</v>
      </c>
      <c r="E4" s="3" t="s">
        <v>27</v>
      </c>
      <c r="F4" s="3" t="s">
        <v>28</v>
      </c>
      <c r="G4" s="3" t="s">
        <v>29</v>
      </c>
      <c r="H4" s="3" t="s">
        <v>30</v>
      </c>
      <c r="I4" s="3" t="s">
        <v>31</v>
      </c>
      <c r="J4" s="3" t="s">
        <v>32</v>
      </c>
      <c r="K4" s="3" t="s">
        <v>33</v>
      </c>
      <c r="L4" s="3" t="s">
        <v>34</v>
      </c>
    </row>
    <row r="5" customFormat="false" ht="15" hidden="false" customHeight="false" outlineLevel="0" collapsed="false">
      <c r="A5" s="12" t="s">
        <v>35</v>
      </c>
      <c r="B5" s="13"/>
      <c r="C5" s="13"/>
      <c r="D5" s="13"/>
      <c r="E5" s="13"/>
      <c r="F5" s="13"/>
      <c r="G5" s="13"/>
      <c r="H5" s="13"/>
      <c r="I5" s="13"/>
      <c r="J5" s="13"/>
      <c r="K5" s="13"/>
      <c r="L5" s="13"/>
    </row>
    <row r="6" customFormat="false" ht="35.05" hidden="false" customHeight="false" outlineLevel="0" collapsed="false">
      <c r="A6" s="14" t="n">
        <v>1</v>
      </c>
      <c r="B6" s="15" t="s">
        <v>36</v>
      </c>
      <c r="C6" s="15" t="s">
        <v>169</v>
      </c>
      <c r="D6" s="14" t="s">
        <v>38</v>
      </c>
      <c r="E6" s="14" t="s">
        <v>3</v>
      </c>
      <c r="F6" s="14" t="s">
        <v>75</v>
      </c>
      <c r="G6" s="15" t="s">
        <v>40</v>
      </c>
      <c r="H6" s="15" t="s">
        <v>170</v>
      </c>
      <c r="I6" s="14" t="s">
        <v>42</v>
      </c>
      <c r="J6" s="14" t="s">
        <v>171</v>
      </c>
      <c r="K6" s="16" t="s">
        <v>44</v>
      </c>
      <c r="L6" s="15" t="s">
        <v>49</v>
      </c>
    </row>
    <row r="7" customFormat="false" ht="35.05" hidden="false" customHeight="false" outlineLevel="0" collapsed="false">
      <c r="A7" s="14" t="n">
        <v>2</v>
      </c>
      <c r="B7" s="15" t="s">
        <v>36</v>
      </c>
      <c r="C7" s="15" t="s">
        <v>172</v>
      </c>
      <c r="D7" s="14" t="s">
        <v>38</v>
      </c>
      <c r="E7" s="14" t="s">
        <v>3</v>
      </c>
      <c r="F7" s="14" t="s">
        <v>75</v>
      </c>
      <c r="G7" s="15" t="s">
        <v>40</v>
      </c>
      <c r="H7" s="15" t="s">
        <v>173</v>
      </c>
      <c r="I7" s="14" t="s">
        <v>42</v>
      </c>
      <c r="J7" s="14" t="s">
        <v>72</v>
      </c>
      <c r="K7" s="16" t="s">
        <v>44</v>
      </c>
      <c r="L7" s="15" t="s">
        <v>174</v>
      </c>
    </row>
    <row r="8" customFormat="false" ht="35.05" hidden="false" customHeight="false" outlineLevel="0" collapsed="false">
      <c r="A8" s="14" t="n">
        <v>3</v>
      </c>
      <c r="B8" s="15" t="s">
        <v>175</v>
      </c>
      <c r="C8" s="15" t="s">
        <v>176</v>
      </c>
      <c r="D8" s="14" t="s">
        <v>177</v>
      </c>
      <c r="E8" s="14" t="s">
        <v>3</v>
      </c>
      <c r="F8" s="14" t="s">
        <v>70</v>
      </c>
      <c r="G8" s="15" t="s">
        <v>178</v>
      </c>
      <c r="H8" s="15" t="s">
        <v>179</v>
      </c>
      <c r="I8" s="14" t="s">
        <v>42</v>
      </c>
      <c r="J8" s="14" t="s">
        <v>180</v>
      </c>
      <c r="K8" s="16" t="s">
        <v>44</v>
      </c>
      <c r="L8" s="15"/>
    </row>
    <row r="9" customFormat="false" ht="23.85" hidden="false" customHeight="false" outlineLevel="0" collapsed="false">
      <c r="A9" s="14" t="n">
        <v>4</v>
      </c>
      <c r="B9" s="15" t="s">
        <v>181</v>
      </c>
      <c r="C9" s="15" t="s">
        <v>176</v>
      </c>
      <c r="D9" s="14" t="s">
        <v>69</v>
      </c>
      <c r="E9" s="14" t="s">
        <v>3</v>
      </c>
      <c r="F9" s="14" t="s">
        <v>70</v>
      </c>
      <c r="G9" s="15" t="s">
        <v>63</v>
      </c>
      <c r="H9" s="15" t="s">
        <v>182</v>
      </c>
      <c r="I9" s="14" t="s">
        <v>42</v>
      </c>
      <c r="J9" s="14" t="s">
        <v>77</v>
      </c>
      <c r="K9" s="16" t="s">
        <v>44</v>
      </c>
      <c r="L9" s="15"/>
    </row>
    <row r="10" customFormat="false" ht="15" hidden="false" customHeight="false" outlineLevel="0" collapsed="false">
      <c r="A10" s="12" t="s">
        <v>78</v>
      </c>
      <c r="B10" s="13"/>
      <c r="C10" s="13"/>
      <c r="D10" s="13"/>
      <c r="E10" s="13"/>
      <c r="F10" s="13"/>
      <c r="G10" s="13"/>
      <c r="H10" s="13"/>
      <c r="I10" s="13"/>
      <c r="J10" s="13"/>
      <c r="K10" s="13"/>
      <c r="L10" s="13"/>
    </row>
    <row r="11" customFormat="false" ht="23.85" hidden="false" customHeight="false" outlineLevel="0" collapsed="false">
      <c r="A11" s="14" t="n">
        <v>5</v>
      </c>
      <c r="B11" s="15" t="s">
        <v>183</v>
      </c>
      <c r="C11" s="15" t="s">
        <v>184</v>
      </c>
      <c r="D11" s="14" t="s">
        <v>61</v>
      </c>
      <c r="E11" s="14" t="s">
        <v>3</v>
      </c>
      <c r="F11" s="14" t="s">
        <v>75</v>
      </c>
      <c r="G11" s="15" t="s">
        <v>63</v>
      </c>
      <c r="H11" s="15" t="s">
        <v>185</v>
      </c>
      <c r="I11" s="14" t="s">
        <v>56</v>
      </c>
      <c r="J11" s="14" t="s">
        <v>65</v>
      </c>
      <c r="K11" s="16" t="s">
        <v>44</v>
      </c>
      <c r="L11" s="15" t="s">
        <v>186</v>
      </c>
    </row>
    <row r="12" customFormat="false" ht="23.85" hidden="false" customHeight="false" outlineLevel="0" collapsed="false">
      <c r="A12" s="14" t="n">
        <v>6</v>
      </c>
      <c r="B12" s="15" t="s">
        <v>187</v>
      </c>
      <c r="C12" s="15" t="s">
        <v>188</v>
      </c>
      <c r="D12" s="14" t="s">
        <v>61</v>
      </c>
      <c r="E12" s="14" t="s">
        <v>3</v>
      </c>
      <c r="F12" s="14" t="s">
        <v>39</v>
      </c>
      <c r="G12" s="15" t="s">
        <v>63</v>
      </c>
      <c r="H12" s="15" t="s">
        <v>189</v>
      </c>
      <c r="I12" s="14" t="s">
        <v>56</v>
      </c>
      <c r="J12" s="14" t="s">
        <v>57</v>
      </c>
      <c r="K12" s="16" t="s">
        <v>44</v>
      </c>
      <c r="L12" s="15" t="s">
        <v>190</v>
      </c>
    </row>
    <row r="13" customFormat="false" ht="23.85" hidden="false" customHeight="false" outlineLevel="0" collapsed="false">
      <c r="A13" s="14" t="n">
        <v>7</v>
      </c>
      <c r="B13" s="15" t="s">
        <v>191</v>
      </c>
      <c r="C13" s="15" t="s">
        <v>192</v>
      </c>
      <c r="D13" s="14" t="s">
        <v>61</v>
      </c>
      <c r="E13" s="14" t="s">
        <v>3</v>
      </c>
      <c r="F13" s="14" t="s">
        <v>39</v>
      </c>
      <c r="G13" s="15" t="s">
        <v>63</v>
      </c>
      <c r="H13" s="15" t="s">
        <v>193</v>
      </c>
      <c r="I13" s="14" t="s">
        <v>56</v>
      </c>
      <c r="J13" s="14" t="s">
        <v>57</v>
      </c>
      <c r="K13" s="16" t="s">
        <v>44</v>
      </c>
      <c r="L13" s="15" t="s">
        <v>186</v>
      </c>
    </row>
    <row r="14" customFormat="false" ht="23.85" hidden="false" customHeight="false" outlineLevel="0" collapsed="false">
      <c r="A14" s="14" t="n">
        <v>8</v>
      </c>
      <c r="B14" s="15" t="s">
        <v>187</v>
      </c>
      <c r="C14" s="15" t="s">
        <v>194</v>
      </c>
      <c r="D14" s="14" t="s">
        <v>61</v>
      </c>
      <c r="E14" s="14" t="s">
        <v>3</v>
      </c>
      <c r="F14" s="14" t="s">
        <v>195</v>
      </c>
      <c r="G14" s="15" t="s">
        <v>63</v>
      </c>
      <c r="H14" s="15" t="s">
        <v>196</v>
      </c>
      <c r="I14" s="14" t="s">
        <v>56</v>
      </c>
      <c r="J14" s="14" t="s">
        <v>83</v>
      </c>
      <c r="K14" s="16" t="s">
        <v>44</v>
      </c>
      <c r="L14" s="15"/>
    </row>
    <row r="15" customFormat="false" ht="23.85" hidden="false" customHeight="false" outlineLevel="0" collapsed="false">
      <c r="A15" s="14" t="n">
        <v>9</v>
      </c>
      <c r="B15" s="15" t="s">
        <v>111</v>
      </c>
      <c r="C15" s="15" t="s">
        <v>197</v>
      </c>
      <c r="D15" s="14" t="s">
        <v>61</v>
      </c>
      <c r="E15" s="14" t="s">
        <v>3</v>
      </c>
      <c r="F15" s="14" t="s">
        <v>70</v>
      </c>
      <c r="G15" s="15" t="s">
        <v>63</v>
      </c>
      <c r="H15" s="15" t="s">
        <v>198</v>
      </c>
      <c r="I15" s="14" t="s">
        <v>56</v>
      </c>
      <c r="J15" s="14" t="s">
        <v>83</v>
      </c>
      <c r="K15" s="16" t="s">
        <v>44</v>
      </c>
      <c r="L15" s="15"/>
    </row>
    <row r="16" customFormat="false" ht="23.85" hidden="false" customHeight="false" outlineLevel="0" collapsed="false">
      <c r="A16" s="14" t="n">
        <v>10</v>
      </c>
      <c r="B16" s="15" t="s">
        <v>187</v>
      </c>
      <c r="C16" s="15" t="s">
        <v>199</v>
      </c>
      <c r="D16" s="14" t="s">
        <v>61</v>
      </c>
      <c r="E16" s="14" t="s">
        <v>3</v>
      </c>
      <c r="F16" s="14" t="s">
        <v>70</v>
      </c>
      <c r="G16" s="15" t="s">
        <v>63</v>
      </c>
      <c r="H16" s="15" t="s">
        <v>200</v>
      </c>
      <c r="I16" s="14" t="s">
        <v>56</v>
      </c>
      <c r="J16" s="14" t="s">
        <v>83</v>
      </c>
      <c r="K16" s="16" t="s">
        <v>44</v>
      </c>
      <c r="L16" s="15"/>
    </row>
    <row r="17" customFormat="false" ht="23.85" hidden="false" customHeight="false" outlineLevel="0" collapsed="false">
      <c r="A17" s="14" t="n">
        <v>11</v>
      </c>
      <c r="B17" s="15" t="s">
        <v>201</v>
      </c>
      <c r="C17" s="15" t="s">
        <v>202</v>
      </c>
      <c r="D17" s="14" t="s">
        <v>131</v>
      </c>
      <c r="E17" s="14" t="s">
        <v>3</v>
      </c>
      <c r="F17" s="14" t="s">
        <v>75</v>
      </c>
      <c r="G17" s="15" t="s">
        <v>63</v>
      </c>
      <c r="H17" s="15" t="s">
        <v>203</v>
      </c>
      <c r="I17" s="14" t="s">
        <v>134</v>
      </c>
      <c r="J17" s="14" t="s">
        <v>43</v>
      </c>
      <c r="K17" s="16" t="s">
        <v>44</v>
      </c>
      <c r="L17" s="15" t="s">
        <v>204</v>
      </c>
    </row>
    <row r="18" customFormat="false" ht="15" hidden="false" customHeight="false" outlineLevel="0" collapsed="false">
      <c r="A18" s="12" t="s">
        <v>137</v>
      </c>
      <c r="B18" s="13"/>
      <c r="C18" s="13"/>
      <c r="D18" s="13"/>
      <c r="E18" s="13"/>
      <c r="F18" s="13"/>
      <c r="G18" s="13"/>
      <c r="H18" s="13"/>
      <c r="I18" s="13"/>
      <c r="J18" s="13"/>
      <c r="K18" s="13"/>
      <c r="L18" s="13"/>
    </row>
    <row r="19" customFormat="false" ht="23.85" hidden="false" customHeight="false" outlineLevel="0" collapsed="false">
      <c r="A19" s="14" t="n">
        <v>12</v>
      </c>
      <c r="B19" s="15" t="s">
        <v>205</v>
      </c>
      <c r="C19" s="15" t="s">
        <v>206</v>
      </c>
      <c r="D19" s="14" t="s">
        <v>207</v>
      </c>
      <c r="E19" s="14" t="s">
        <v>3</v>
      </c>
      <c r="F19" s="14" t="s">
        <v>75</v>
      </c>
      <c r="G19" s="15" t="s">
        <v>63</v>
      </c>
      <c r="H19" s="15" t="s">
        <v>208</v>
      </c>
      <c r="I19" s="14" t="s">
        <v>209</v>
      </c>
      <c r="J19" s="14" t="s">
        <v>210</v>
      </c>
      <c r="K19" s="16" t="s">
        <v>44</v>
      </c>
      <c r="L19" s="15" t="s">
        <v>211</v>
      </c>
    </row>
    <row r="20" customFormat="false" ht="23.85" hidden="false" customHeight="false" outlineLevel="0" collapsed="false">
      <c r="A20" s="14" t="n">
        <v>13</v>
      </c>
      <c r="B20" s="15" t="s">
        <v>212</v>
      </c>
      <c r="C20" s="15" t="s">
        <v>213</v>
      </c>
      <c r="D20" s="14" t="s">
        <v>207</v>
      </c>
      <c r="E20" s="14" t="s">
        <v>3</v>
      </c>
      <c r="F20" s="14" t="s">
        <v>75</v>
      </c>
      <c r="G20" s="15" t="s">
        <v>63</v>
      </c>
      <c r="H20" s="15" t="s">
        <v>214</v>
      </c>
      <c r="I20" s="14" t="s">
        <v>209</v>
      </c>
      <c r="J20" s="14" t="s">
        <v>57</v>
      </c>
      <c r="K20" s="16" t="s">
        <v>44</v>
      </c>
      <c r="L20" s="15" t="s">
        <v>215</v>
      </c>
    </row>
    <row r="21" customFormat="false" ht="15.75" hidden="false" customHeight="true" outlineLevel="0" collapsed="false">
      <c r="A21" s="14" t="n">
        <v>14</v>
      </c>
      <c r="B21" s="15" t="s">
        <v>147</v>
      </c>
      <c r="C21" s="15" t="s">
        <v>216</v>
      </c>
      <c r="D21" s="14" t="s">
        <v>124</v>
      </c>
      <c r="E21" s="14" t="s">
        <v>3</v>
      </c>
      <c r="F21" s="14" t="s">
        <v>217</v>
      </c>
      <c r="G21" s="15" t="s">
        <v>63</v>
      </c>
      <c r="H21" s="15" t="s">
        <v>218</v>
      </c>
      <c r="I21" s="14" t="s">
        <v>56</v>
      </c>
      <c r="J21" s="14" t="s">
        <v>127</v>
      </c>
      <c r="K21" s="16" t="s">
        <v>44</v>
      </c>
      <c r="L21" s="15"/>
    </row>
    <row r="22" customFormat="false" ht="15.75" hidden="false" customHeight="true" outlineLevel="0" collapsed="false">
      <c r="A22" s="14" t="n">
        <v>15</v>
      </c>
      <c r="B22" s="15" t="s">
        <v>147</v>
      </c>
      <c r="C22" s="15" t="s">
        <v>219</v>
      </c>
      <c r="D22" s="14" t="s">
        <v>124</v>
      </c>
      <c r="E22" s="14" t="s">
        <v>3</v>
      </c>
      <c r="F22" s="14" t="s">
        <v>220</v>
      </c>
      <c r="G22" s="15" t="s">
        <v>63</v>
      </c>
      <c r="H22" s="15" t="s">
        <v>221</v>
      </c>
      <c r="I22" s="14" t="s">
        <v>56</v>
      </c>
      <c r="J22" s="14" t="s">
        <v>222</v>
      </c>
      <c r="K22" s="16" t="s">
        <v>44</v>
      </c>
      <c r="L22" s="15"/>
    </row>
    <row r="23" customFormat="false" ht="15.75" hidden="false" customHeight="true" outlineLevel="0" collapsed="false">
      <c r="A23" s="14" t="n">
        <v>16</v>
      </c>
      <c r="B23" s="15" t="s">
        <v>147</v>
      </c>
      <c r="C23" s="15" t="s">
        <v>223</v>
      </c>
      <c r="D23" s="14" t="s">
        <v>124</v>
      </c>
      <c r="E23" s="14" t="s">
        <v>3</v>
      </c>
      <c r="F23" s="14" t="s">
        <v>224</v>
      </c>
      <c r="G23" s="15" t="s">
        <v>63</v>
      </c>
      <c r="H23" s="15" t="s">
        <v>225</v>
      </c>
      <c r="I23" s="14" t="s">
        <v>56</v>
      </c>
      <c r="J23" s="14" t="s">
        <v>127</v>
      </c>
      <c r="K23" s="16" t="s">
        <v>44</v>
      </c>
      <c r="L23" s="15"/>
    </row>
    <row r="24" customFormat="false" ht="15.75" hidden="false" customHeight="true" outlineLevel="0" collapsed="false">
      <c r="A24" s="14" t="n">
        <v>17</v>
      </c>
      <c r="B24" s="15" t="s">
        <v>138</v>
      </c>
      <c r="C24" s="15" t="s">
        <v>226</v>
      </c>
      <c r="D24" s="14" t="s">
        <v>124</v>
      </c>
      <c r="E24" s="14" t="s">
        <v>3</v>
      </c>
      <c r="F24" s="14" t="s">
        <v>227</v>
      </c>
      <c r="G24" s="15" t="s">
        <v>63</v>
      </c>
      <c r="H24" s="15" t="s">
        <v>228</v>
      </c>
      <c r="I24" s="14" t="s">
        <v>56</v>
      </c>
      <c r="J24" s="14" t="s">
        <v>127</v>
      </c>
      <c r="K24" s="16" t="s">
        <v>44</v>
      </c>
      <c r="L24" s="15"/>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24"/>
  <conditionalFormatting sqref="E5:E24">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8" r:id="rId3" display="Apply ↗"/>
    <hyperlink ref="K9" r:id="rId4" display="Apply ↗"/>
    <hyperlink ref="K11" r:id="rId5" display="Apply ↗"/>
    <hyperlink ref="K12" r:id="rId6" display="Apply ↗"/>
    <hyperlink ref="K13" r:id="rId7" display="Apply ↗"/>
    <hyperlink ref="K14" r:id="rId8" display="Apply ↗"/>
    <hyperlink ref="K15" r:id="rId9" display="Apply ↗"/>
    <hyperlink ref="K16" r:id="rId10" display="Apply ↗"/>
    <hyperlink ref="K17" r:id="rId11" display="Apply ↗"/>
    <hyperlink ref="K19" r:id="rId12" display="Apply ↗"/>
    <hyperlink ref="K20" r:id="rId13" display="Apply ↗"/>
    <hyperlink ref="K21" r:id="rId14" display="Apply ↗"/>
    <hyperlink ref="K22" r:id="rId15" display="Apply ↗"/>
    <hyperlink ref="K23" r:id="rId16" display="Apply ↗"/>
    <hyperlink ref="K24" r:id="rId17"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5" min="4" style="0" width="22"/>
    <col collapsed="false" customWidth="true" hidden="false" outlineLevel="0" max="6" min="6" style="0" width="14"/>
    <col collapsed="false" customWidth="true" hidden="false" outlineLevel="0" max="7" min="7" style="0" width="2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38"/>
    <col collapsed="false" customWidth="true" hidden="false" outlineLevel="0" max="26" min="13" style="0" width="8.71"/>
  </cols>
  <sheetData>
    <row r="1" customFormat="false" ht="17.35" hidden="false" customHeight="false" outlineLevel="0" collapsed="false">
      <c r="A1" s="10" t="s">
        <v>229</v>
      </c>
    </row>
    <row r="2" customFormat="false" ht="15" hidden="false" customHeight="false" outlineLevel="0" collapsed="false">
      <c r="A2" s="11" t="s">
        <v>22</v>
      </c>
    </row>
    <row r="4" customFormat="false" ht="25.5" hidden="false" customHeight="true" outlineLevel="0" collapsed="false">
      <c r="A4" s="3" t="s">
        <v>23</v>
      </c>
      <c r="B4" s="3" t="s">
        <v>24</v>
      </c>
      <c r="C4" s="3" t="s">
        <v>25</v>
      </c>
      <c r="D4" s="3" t="s">
        <v>26</v>
      </c>
      <c r="E4" s="3" t="s">
        <v>27</v>
      </c>
      <c r="F4" s="3" t="s">
        <v>28</v>
      </c>
      <c r="G4" s="3" t="s">
        <v>29</v>
      </c>
      <c r="H4" s="3" t="s">
        <v>30</v>
      </c>
      <c r="I4" s="3" t="s">
        <v>31</v>
      </c>
      <c r="J4" s="3" t="s">
        <v>32</v>
      </c>
      <c r="K4" s="3" t="s">
        <v>33</v>
      </c>
      <c r="L4" s="3" t="s">
        <v>34</v>
      </c>
    </row>
    <row r="5" customFormat="false" ht="15" hidden="false" customHeight="false" outlineLevel="0" collapsed="false">
      <c r="A5" s="12" t="s">
        <v>35</v>
      </c>
      <c r="B5" s="13"/>
      <c r="C5" s="13"/>
      <c r="D5" s="13"/>
      <c r="E5" s="13"/>
      <c r="F5" s="13"/>
      <c r="G5" s="13"/>
      <c r="H5" s="13"/>
      <c r="I5" s="13"/>
      <c r="J5" s="13"/>
      <c r="K5" s="13"/>
      <c r="L5" s="13"/>
    </row>
    <row r="6" customFormat="false" ht="35.05" hidden="false" customHeight="false" outlineLevel="0" collapsed="false">
      <c r="A6" s="14" t="n">
        <v>1</v>
      </c>
      <c r="B6" s="15" t="s">
        <v>36</v>
      </c>
      <c r="C6" s="15" t="s">
        <v>230</v>
      </c>
      <c r="D6" s="14" t="s">
        <v>38</v>
      </c>
      <c r="E6" s="14" t="s">
        <v>3</v>
      </c>
      <c r="F6" s="14" t="s">
        <v>75</v>
      </c>
      <c r="G6" s="15" t="s">
        <v>40</v>
      </c>
      <c r="H6" s="15" t="s">
        <v>231</v>
      </c>
      <c r="I6" s="14" t="s">
        <v>42</v>
      </c>
      <c r="J6" s="14" t="s">
        <v>171</v>
      </c>
      <c r="K6" s="16" t="s">
        <v>44</v>
      </c>
      <c r="L6" s="15" t="s">
        <v>232</v>
      </c>
    </row>
    <row r="7" customFormat="false" ht="23.85" hidden="false" customHeight="false" outlineLevel="0" collapsed="false">
      <c r="A7" s="14" t="n">
        <v>2</v>
      </c>
      <c r="B7" s="15" t="s">
        <v>59</v>
      </c>
      <c r="C7" s="15" t="s">
        <v>233</v>
      </c>
      <c r="D7" s="14" t="s">
        <v>61</v>
      </c>
      <c r="E7" s="14" t="s">
        <v>3</v>
      </c>
      <c r="F7" s="14" t="s">
        <v>75</v>
      </c>
      <c r="G7" s="15" t="s">
        <v>234</v>
      </c>
      <c r="H7" s="15" t="s">
        <v>235</v>
      </c>
      <c r="I7" s="14" t="s">
        <v>56</v>
      </c>
      <c r="J7" s="14" t="s">
        <v>65</v>
      </c>
      <c r="K7" s="16" t="s">
        <v>44</v>
      </c>
      <c r="L7" s="15" t="s">
        <v>236</v>
      </c>
    </row>
    <row r="8" customFormat="false" ht="15" hidden="false" customHeight="false" outlineLevel="0" collapsed="false">
      <c r="A8" s="12" t="s">
        <v>78</v>
      </c>
      <c r="B8" s="13"/>
      <c r="C8" s="13"/>
      <c r="D8" s="13"/>
      <c r="E8" s="13"/>
      <c r="F8" s="13"/>
      <c r="G8" s="13"/>
      <c r="H8" s="13"/>
      <c r="I8" s="13"/>
      <c r="J8" s="13"/>
      <c r="K8" s="13"/>
      <c r="L8" s="13"/>
    </row>
    <row r="9" customFormat="false" ht="23.85" hidden="false" customHeight="false" outlineLevel="0" collapsed="false">
      <c r="A9" s="14" t="n">
        <v>3</v>
      </c>
      <c r="B9" s="15" t="s">
        <v>237</v>
      </c>
      <c r="C9" s="15" t="s">
        <v>238</v>
      </c>
      <c r="D9" s="14" t="s">
        <v>239</v>
      </c>
      <c r="E9" s="14" t="s">
        <v>3</v>
      </c>
      <c r="F9" s="14" t="s">
        <v>240</v>
      </c>
      <c r="G9" s="15" t="s">
        <v>241</v>
      </c>
      <c r="H9" s="15" t="s">
        <v>242</v>
      </c>
      <c r="I9" s="14" t="s">
        <v>56</v>
      </c>
      <c r="J9" s="14" t="s">
        <v>83</v>
      </c>
      <c r="K9" s="16" t="s">
        <v>44</v>
      </c>
      <c r="L9" s="15" t="s">
        <v>243</v>
      </c>
    </row>
    <row r="10" customFormat="false" ht="35.05" hidden="false" customHeight="false" outlineLevel="0" collapsed="false">
      <c r="A10" s="14" t="n">
        <v>4</v>
      </c>
      <c r="B10" s="15" t="s">
        <v>244</v>
      </c>
      <c r="C10" s="15" t="s">
        <v>245</v>
      </c>
      <c r="D10" s="14" t="s">
        <v>52</v>
      </c>
      <c r="E10" s="14" t="s">
        <v>3</v>
      </c>
      <c r="F10" s="14" t="s">
        <v>246</v>
      </c>
      <c r="G10" s="15" t="s">
        <v>247</v>
      </c>
      <c r="H10" s="15" t="s">
        <v>248</v>
      </c>
      <c r="I10" s="14" t="s">
        <v>56</v>
      </c>
      <c r="J10" s="14" t="s">
        <v>222</v>
      </c>
      <c r="K10" s="16" t="s">
        <v>44</v>
      </c>
      <c r="L10" s="15"/>
    </row>
    <row r="11" customFormat="false" ht="23.85" hidden="false" customHeight="false" outlineLevel="0" collapsed="false">
      <c r="A11" s="14" t="n">
        <v>5</v>
      </c>
      <c r="B11" s="15" t="s">
        <v>79</v>
      </c>
      <c r="C11" s="15" t="s">
        <v>249</v>
      </c>
      <c r="D11" s="14" t="s">
        <v>61</v>
      </c>
      <c r="E11" s="14" t="s">
        <v>3</v>
      </c>
      <c r="F11" s="14" t="s">
        <v>250</v>
      </c>
      <c r="G11" s="15" t="s">
        <v>63</v>
      </c>
      <c r="H11" s="15" t="s">
        <v>251</v>
      </c>
      <c r="I11" s="14" t="s">
        <v>56</v>
      </c>
      <c r="J11" s="14" t="s">
        <v>83</v>
      </c>
      <c r="K11" s="16" t="s">
        <v>44</v>
      </c>
      <c r="L11" s="15"/>
    </row>
    <row r="12" customFormat="false" ht="35.05" hidden="false" customHeight="false" outlineLevel="0" collapsed="false">
      <c r="A12" s="14" t="n">
        <v>6</v>
      </c>
      <c r="B12" s="15" t="s">
        <v>252</v>
      </c>
      <c r="C12" s="15" t="s">
        <v>253</v>
      </c>
      <c r="D12" s="14" t="s">
        <v>254</v>
      </c>
      <c r="E12" s="14" t="s">
        <v>3</v>
      </c>
      <c r="F12" s="14" t="s">
        <v>255</v>
      </c>
      <c r="G12" s="15" t="s">
        <v>63</v>
      </c>
      <c r="H12" s="15" t="s">
        <v>256</v>
      </c>
      <c r="I12" s="14" t="s">
        <v>209</v>
      </c>
      <c r="J12" s="14" t="s">
        <v>257</v>
      </c>
      <c r="K12" s="16" t="s">
        <v>44</v>
      </c>
      <c r="L12" s="15"/>
    </row>
    <row r="13" customFormat="false" ht="23.85" hidden="false" customHeight="false" outlineLevel="0" collapsed="false">
      <c r="A13" s="14" t="n">
        <v>7</v>
      </c>
      <c r="B13" s="15" t="s">
        <v>258</v>
      </c>
      <c r="C13" s="15" t="s">
        <v>259</v>
      </c>
      <c r="D13" s="14" t="s">
        <v>260</v>
      </c>
      <c r="E13" s="14" t="s">
        <v>3</v>
      </c>
      <c r="F13" s="14" t="s">
        <v>261</v>
      </c>
      <c r="G13" s="15" t="s">
        <v>262</v>
      </c>
      <c r="H13" s="15" t="s">
        <v>263</v>
      </c>
      <c r="I13" s="14" t="s">
        <v>134</v>
      </c>
      <c r="J13" s="14" t="s">
        <v>83</v>
      </c>
      <c r="K13" s="16" t="s">
        <v>44</v>
      </c>
      <c r="L13" s="15"/>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13"/>
  <conditionalFormatting sqref="E5:E13">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9" r:id="rId3" display="Apply ↗"/>
    <hyperlink ref="K10" r:id="rId4" display="Apply ↗"/>
    <hyperlink ref="K11" r:id="rId5" display="Apply ↗"/>
    <hyperlink ref="K12" r:id="rId6" display="Apply ↗"/>
    <hyperlink ref="K13" r:id="rId7"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8"/>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5" min="4" style="0" width="22"/>
    <col collapsed="false" customWidth="true" hidden="false" outlineLevel="0" max="6" min="6" style="0" width="14"/>
    <col collapsed="false" customWidth="true" hidden="false" outlineLevel="0" max="7" min="7" style="0" width="2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38"/>
    <col collapsed="false" customWidth="true" hidden="false" outlineLevel="0" max="26" min="13" style="0" width="8.71"/>
  </cols>
  <sheetData>
    <row r="1" customFormat="false" ht="17.35" hidden="false" customHeight="false" outlineLevel="0" collapsed="false">
      <c r="A1" s="10" t="s">
        <v>264</v>
      </c>
    </row>
    <row r="2" customFormat="false" ht="15" hidden="false" customHeight="false" outlineLevel="0" collapsed="false">
      <c r="A2" s="11" t="s">
        <v>22</v>
      </c>
    </row>
    <row r="4" customFormat="false" ht="25.5" hidden="false" customHeight="true" outlineLevel="0" collapsed="false">
      <c r="A4" s="3" t="s">
        <v>23</v>
      </c>
      <c r="B4" s="3" t="s">
        <v>24</v>
      </c>
      <c r="C4" s="3" t="s">
        <v>25</v>
      </c>
      <c r="D4" s="3" t="s">
        <v>26</v>
      </c>
      <c r="E4" s="3" t="s">
        <v>27</v>
      </c>
      <c r="F4" s="3" t="s">
        <v>28</v>
      </c>
      <c r="G4" s="3" t="s">
        <v>29</v>
      </c>
      <c r="H4" s="3" t="s">
        <v>30</v>
      </c>
      <c r="I4" s="3" t="s">
        <v>31</v>
      </c>
      <c r="J4" s="3" t="s">
        <v>32</v>
      </c>
      <c r="K4" s="3" t="s">
        <v>33</v>
      </c>
      <c r="L4" s="3" t="s">
        <v>34</v>
      </c>
    </row>
    <row r="5" customFormat="false" ht="15" hidden="false" customHeight="false" outlineLevel="0" collapsed="false">
      <c r="A5" s="12" t="s">
        <v>35</v>
      </c>
      <c r="B5" s="13"/>
      <c r="C5" s="13"/>
      <c r="D5" s="13"/>
      <c r="E5" s="13"/>
      <c r="F5" s="13"/>
      <c r="G5" s="13"/>
      <c r="H5" s="13"/>
      <c r="I5" s="13"/>
      <c r="J5" s="13"/>
      <c r="K5" s="13"/>
      <c r="L5" s="13"/>
    </row>
    <row r="6" customFormat="false" ht="35.05" hidden="false" customHeight="false" outlineLevel="0" collapsed="false">
      <c r="A6" s="14" t="n">
        <v>1</v>
      </c>
      <c r="B6" s="15" t="s">
        <v>36</v>
      </c>
      <c r="C6" s="15" t="s">
        <v>265</v>
      </c>
      <c r="D6" s="14" t="s">
        <v>38</v>
      </c>
      <c r="E6" s="14" t="s">
        <v>3</v>
      </c>
      <c r="F6" s="14" t="s">
        <v>39</v>
      </c>
      <c r="G6" s="15" t="s">
        <v>40</v>
      </c>
      <c r="H6" s="15" t="s">
        <v>266</v>
      </c>
      <c r="I6" s="14" t="s">
        <v>42</v>
      </c>
      <c r="J6" s="14" t="s">
        <v>180</v>
      </c>
      <c r="K6" s="16" t="s">
        <v>44</v>
      </c>
      <c r="L6" s="15" t="s">
        <v>49</v>
      </c>
    </row>
    <row r="7" customFormat="false" ht="15" hidden="false" customHeight="false" outlineLevel="0" collapsed="false">
      <c r="A7" s="12" t="s">
        <v>78</v>
      </c>
      <c r="B7" s="13"/>
      <c r="C7" s="13"/>
      <c r="D7" s="13"/>
      <c r="E7" s="13"/>
      <c r="F7" s="13"/>
      <c r="G7" s="13"/>
      <c r="H7" s="13"/>
      <c r="I7" s="13"/>
      <c r="J7" s="13"/>
      <c r="K7" s="13"/>
      <c r="L7" s="13"/>
    </row>
    <row r="8" customFormat="false" ht="35.05" hidden="false" customHeight="false" outlineLevel="0" collapsed="false">
      <c r="A8" s="14" t="n">
        <v>2</v>
      </c>
      <c r="B8" s="15" t="s">
        <v>79</v>
      </c>
      <c r="C8" s="15" t="s">
        <v>267</v>
      </c>
      <c r="D8" s="14" t="s">
        <v>61</v>
      </c>
      <c r="E8" s="14" t="s">
        <v>3</v>
      </c>
      <c r="F8" s="14" t="s">
        <v>70</v>
      </c>
      <c r="G8" s="15" t="s">
        <v>63</v>
      </c>
      <c r="H8" s="15" t="s">
        <v>268</v>
      </c>
      <c r="I8" s="14" t="s">
        <v>56</v>
      </c>
      <c r="J8" s="14" t="s">
        <v>83</v>
      </c>
      <c r="K8" s="16" t="s">
        <v>44</v>
      </c>
      <c r="L8" s="15"/>
    </row>
    <row r="9" customFormat="false" ht="23.85" hidden="false" customHeight="false" outlineLevel="0" collapsed="false">
      <c r="A9" s="14" t="n">
        <v>3</v>
      </c>
      <c r="B9" s="15" t="s">
        <v>269</v>
      </c>
      <c r="C9" s="15" t="s">
        <v>270</v>
      </c>
      <c r="D9" s="14" t="s">
        <v>124</v>
      </c>
      <c r="E9" s="14" t="s">
        <v>3</v>
      </c>
      <c r="F9" s="14" t="s">
        <v>271</v>
      </c>
      <c r="G9" s="15" t="s">
        <v>63</v>
      </c>
      <c r="H9" s="15" t="s">
        <v>272</v>
      </c>
      <c r="I9" s="14" t="s">
        <v>56</v>
      </c>
      <c r="J9" s="14" t="s">
        <v>83</v>
      </c>
      <c r="K9" s="16" t="s">
        <v>44</v>
      </c>
      <c r="L9" s="15" t="s">
        <v>273</v>
      </c>
    </row>
    <row r="10" customFormat="false" ht="23.85" hidden="false" customHeight="false" outlineLevel="0" collapsed="false">
      <c r="A10" s="14" t="n">
        <v>4</v>
      </c>
      <c r="B10" s="15" t="s">
        <v>258</v>
      </c>
      <c r="C10" s="15" t="s">
        <v>274</v>
      </c>
      <c r="D10" s="14" t="s">
        <v>260</v>
      </c>
      <c r="E10" s="14" t="s">
        <v>3</v>
      </c>
      <c r="F10" s="14" t="s">
        <v>261</v>
      </c>
      <c r="G10" s="15" t="s">
        <v>275</v>
      </c>
      <c r="H10" s="15" t="s">
        <v>276</v>
      </c>
      <c r="I10" s="14" t="s">
        <v>134</v>
      </c>
      <c r="J10" s="14" t="s">
        <v>83</v>
      </c>
      <c r="K10" s="16" t="s">
        <v>44</v>
      </c>
      <c r="L10" s="15"/>
    </row>
    <row r="11" customFormat="false" ht="23.85" hidden="false" customHeight="false" outlineLevel="0" collapsed="false">
      <c r="A11" s="14" t="n">
        <v>5</v>
      </c>
      <c r="B11" s="15" t="s">
        <v>258</v>
      </c>
      <c r="C11" s="15" t="s">
        <v>277</v>
      </c>
      <c r="D11" s="14" t="s">
        <v>260</v>
      </c>
      <c r="E11" s="14" t="s">
        <v>3</v>
      </c>
      <c r="F11" s="14" t="s">
        <v>261</v>
      </c>
      <c r="G11" s="15" t="s">
        <v>278</v>
      </c>
      <c r="H11" s="15" t="s">
        <v>279</v>
      </c>
      <c r="I11" s="14" t="s">
        <v>134</v>
      </c>
      <c r="J11" s="14" t="s">
        <v>83</v>
      </c>
      <c r="K11" s="16" t="s">
        <v>44</v>
      </c>
      <c r="L11" s="15"/>
    </row>
    <row r="12" customFormat="false" ht="23.85" hidden="false" customHeight="false" outlineLevel="0" collapsed="false">
      <c r="A12" s="14" t="n">
        <v>6</v>
      </c>
      <c r="B12" s="15" t="s">
        <v>280</v>
      </c>
      <c r="C12" s="15" t="s">
        <v>281</v>
      </c>
      <c r="D12" s="14" t="s">
        <v>282</v>
      </c>
      <c r="E12" s="14" t="s">
        <v>3</v>
      </c>
      <c r="F12" s="14" t="s">
        <v>261</v>
      </c>
      <c r="G12" s="15" t="s">
        <v>283</v>
      </c>
      <c r="H12" s="15" t="s">
        <v>284</v>
      </c>
      <c r="I12" s="14" t="s">
        <v>134</v>
      </c>
      <c r="J12" s="14" t="s">
        <v>83</v>
      </c>
      <c r="K12" s="16" t="s">
        <v>44</v>
      </c>
      <c r="L12" s="15"/>
    </row>
    <row r="13" customFormat="false" ht="15" hidden="false" customHeight="false" outlineLevel="0" collapsed="false">
      <c r="A13" s="12" t="s">
        <v>137</v>
      </c>
      <c r="B13" s="13"/>
      <c r="C13" s="13"/>
      <c r="D13" s="13"/>
      <c r="E13" s="13"/>
      <c r="F13" s="13"/>
      <c r="G13" s="13"/>
      <c r="H13" s="13"/>
      <c r="I13" s="13"/>
      <c r="J13" s="13"/>
      <c r="K13" s="13"/>
      <c r="L13" s="13"/>
    </row>
    <row r="14" customFormat="false" ht="15" hidden="false" customHeight="false" outlineLevel="0" collapsed="false">
      <c r="A14" s="14" t="n">
        <v>7</v>
      </c>
      <c r="B14" s="15" t="s">
        <v>157</v>
      </c>
      <c r="C14" s="15" t="s">
        <v>285</v>
      </c>
      <c r="D14" s="14" t="s">
        <v>165</v>
      </c>
      <c r="E14" s="14" t="s">
        <v>3</v>
      </c>
      <c r="F14" s="14" t="s">
        <v>75</v>
      </c>
      <c r="G14" s="15" t="s">
        <v>63</v>
      </c>
      <c r="H14" s="15" t="s">
        <v>286</v>
      </c>
      <c r="I14" s="14" t="s">
        <v>163</v>
      </c>
      <c r="J14" s="14" t="s">
        <v>83</v>
      </c>
      <c r="K14" s="16" t="s">
        <v>44</v>
      </c>
      <c r="L14" s="15"/>
    </row>
    <row r="15" customFormat="false" ht="23.85" hidden="false" customHeight="false" outlineLevel="0" collapsed="false">
      <c r="A15" s="14" t="n">
        <v>8</v>
      </c>
      <c r="B15" s="15" t="s">
        <v>287</v>
      </c>
      <c r="C15" s="15" t="s">
        <v>288</v>
      </c>
      <c r="D15" s="14" t="s">
        <v>124</v>
      </c>
      <c r="E15" s="14" t="s">
        <v>3</v>
      </c>
      <c r="F15" s="14" t="s">
        <v>70</v>
      </c>
      <c r="G15" s="15" t="s">
        <v>63</v>
      </c>
      <c r="H15" s="15" t="s">
        <v>289</v>
      </c>
      <c r="I15" s="14" t="s">
        <v>56</v>
      </c>
      <c r="J15" s="14" t="s">
        <v>290</v>
      </c>
      <c r="K15" s="16" t="s">
        <v>44</v>
      </c>
      <c r="L15" s="15"/>
    </row>
    <row r="16" customFormat="false" ht="23.85" hidden="false" customHeight="false" outlineLevel="0" collapsed="false">
      <c r="A16" s="14" t="n">
        <v>9</v>
      </c>
      <c r="B16" s="15" t="s">
        <v>147</v>
      </c>
      <c r="C16" s="15" t="s">
        <v>291</v>
      </c>
      <c r="D16" s="14" t="s">
        <v>124</v>
      </c>
      <c r="E16" s="14" t="s">
        <v>3</v>
      </c>
      <c r="F16" s="14" t="s">
        <v>292</v>
      </c>
      <c r="G16" s="15" t="s">
        <v>153</v>
      </c>
      <c r="H16" s="15" t="s">
        <v>293</v>
      </c>
      <c r="I16" s="14" t="s">
        <v>56</v>
      </c>
      <c r="J16" s="14" t="s">
        <v>257</v>
      </c>
      <c r="K16" s="16" t="s">
        <v>44</v>
      </c>
      <c r="L16" s="15"/>
    </row>
    <row r="17" customFormat="false" ht="35.05" hidden="false" customHeight="false" outlineLevel="0" collapsed="false">
      <c r="A17" s="14" t="n">
        <v>10</v>
      </c>
      <c r="B17" s="15" t="s">
        <v>294</v>
      </c>
      <c r="C17" s="15" t="s">
        <v>295</v>
      </c>
      <c r="D17" s="14" t="s">
        <v>124</v>
      </c>
      <c r="E17" s="14" t="s">
        <v>3</v>
      </c>
      <c r="F17" s="14" t="s">
        <v>70</v>
      </c>
      <c r="G17" s="15" t="s">
        <v>63</v>
      </c>
      <c r="H17" s="15" t="s">
        <v>296</v>
      </c>
      <c r="I17" s="14" t="s">
        <v>56</v>
      </c>
      <c r="J17" s="14" t="s">
        <v>297</v>
      </c>
      <c r="K17" s="16" t="s">
        <v>44</v>
      </c>
      <c r="L17" s="15"/>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17"/>
  <conditionalFormatting sqref="E5:E17">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8" r:id="rId2" display="Apply ↗"/>
    <hyperlink ref="K9" r:id="rId3" display="Apply ↗"/>
    <hyperlink ref="K10" r:id="rId4" display="Apply ↗"/>
    <hyperlink ref="K11" r:id="rId5" display="Apply ↗"/>
    <hyperlink ref="K12" r:id="rId6" display="Apply ↗"/>
    <hyperlink ref="K14" r:id="rId7" display="Apply ↗"/>
    <hyperlink ref="K15" r:id="rId8" display="Apply ↗"/>
    <hyperlink ref="K16" r:id="rId9" display="Apply ↗"/>
    <hyperlink ref="K17" r:id="rId10"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5" min="4" style="0" width="22"/>
    <col collapsed="false" customWidth="true" hidden="false" outlineLevel="0" max="6" min="6" style="0" width="14"/>
    <col collapsed="false" customWidth="true" hidden="false" outlineLevel="0" max="7" min="7" style="0" width="2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38"/>
    <col collapsed="false" customWidth="true" hidden="false" outlineLevel="0" max="26" min="13" style="0" width="8.71"/>
  </cols>
  <sheetData>
    <row r="1" customFormat="false" ht="17.35" hidden="false" customHeight="false" outlineLevel="0" collapsed="false">
      <c r="A1" s="10" t="s">
        <v>298</v>
      </c>
    </row>
    <row r="2" customFormat="false" ht="15" hidden="false" customHeight="false" outlineLevel="0" collapsed="false">
      <c r="A2" s="11" t="s">
        <v>22</v>
      </c>
    </row>
    <row r="4" customFormat="false" ht="25.5" hidden="false" customHeight="true" outlineLevel="0" collapsed="false">
      <c r="A4" s="3" t="s">
        <v>23</v>
      </c>
      <c r="B4" s="3" t="s">
        <v>24</v>
      </c>
      <c r="C4" s="3" t="s">
        <v>25</v>
      </c>
      <c r="D4" s="3" t="s">
        <v>26</v>
      </c>
      <c r="E4" s="3" t="s">
        <v>27</v>
      </c>
      <c r="F4" s="3" t="s">
        <v>28</v>
      </c>
      <c r="G4" s="3" t="s">
        <v>29</v>
      </c>
      <c r="H4" s="3" t="s">
        <v>30</v>
      </c>
      <c r="I4" s="3" t="s">
        <v>31</v>
      </c>
      <c r="J4" s="3" t="s">
        <v>32</v>
      </c>
      <c r="K4" s="3" t="s">
        <v>33</v>
      </c>
      <c r="L4" s="3" t="s">
        <v>34</v>
      </c>
    </row>
    <row r="5" customFormat="false" ht="15" hidden="false" customHeight="false" outlineLevel="0" collapsed="false">
      <c r="A5" s="12" t="s">
        <v>35</v>
      </c>
      <c r="B5" s="13"/>
      <c r="C5" s="13"/>
      <c r="D5" s="13"/>
      <c r="E5" s="13"/>
      <c r="F5" s="13"/>
      <c r="G5" s="13"/>
      <c r="H5" s="13"/>
      <c r="I5" s="13"/>
      <c r="J5" s="13"/>
      <c r="K5" s="13"/>
      <c r="L5" s="13"/>
    </row>
    <row r="6" customFormat="false" ht="23.85" hidden="false" customHeight="false" outlineLevel="0" collapsed="false">
      <c r="A6" s="14" t="n">
        <v>1</v>
      </c>
      <c r="B6" s="15" t="s">
        <v>299</v>
      </c>
      <c r="C6" s="15" t="s">
        <v>300</v>
      </c>
      <c r="D6" s="14" t="s">
        <v>103</v>
      </c>
      <c r="E6" s="14" t="s">
        <v>3</v>
      </c>
      <c r="F6" s="14" t="s">
        <v>246</v>
      </c>
      <c r="G6" s="15" t="s">
        <v>301</v>
      </c>
      <c r="H6" s="15" t="s">
        <v>302</v>
      </c>
      <c r="I6" s="14" t="s">
        <v>56</v>
      </c>
      <c r="J6" s="14" t="s">
        <v>303</v>
      </c>
      <c r="K6" s="16" t="s">
        <v>44</v>
      </c>
      <c r="L6" s="15"/>
    </row>
    <row r="7" customFormat="false" ht="23.85" hidden="false" customHeight="false" outlineLevel="0" collapsed="false">
      <c r="A7" s="14" t="n">
        <v>2</v>
      </c>
      <c r="B7" s="15" t="s">
        <v>304</v>
      </c>
      <c r="C7" s="15" t="s">
        <v>305</v>
      </c>
      <c r="D7" s="14" t="s">
        <v>52</v>
      </c>
      <c r="E7" s="14" t="s">
        <v>3</v>
      </c>
      <c r="F7" s="14" t="s">
        <v>132</v>
      </c>
      <c r="G7" s="15" t="s">
        <v>306</v>
      </c>
      <c r="H7" s="15" t="s">
        <v>307</v>
      </c>
      <c r="I7" s="14" t="s">
        <v>56</v>
      </c>
      <c r="J7" s="14" t="s">
        <v>308</v>
      </c>
      <c r="K7" s="16" t="s">
        <v>44</v>
      </c>
      <c r="L7" s="15"/>
    </row>
    <row r="8" customFormat="false" ht="23.85" hidden="false" customHeight="false" outlineLevel="0" collapsed="false">
      <c r="A8" s="14" t="n">
        <v>3</v>
      </c>
      <c r="B8" s="15" t="s">
        <v>50</v>
      </c>
      <c r="C8" s="15" t="s">
        <v>309</v>
      </c>
      <c r="D8" s="14" t="s">
        <v>52</v>
      </c>
      <c r="E8" s="14" t="s">
        <v>3</v>
      </c>
      <c r="F8" s="14" t="s">
        <v>246</v>
      </c>
      <c r="G8" s="15" t="s">
        <v>310</v>
      </c>
      <c r="H8" s="15" t="s">
        <v>311</v>
      </c>
      <c r="I8" s="14" t="s">
        <v>56</v>
      </c>
      <c r="J8" s="14" t="s">
        <v>222</v>
      </c>
      <c r="K8" s="16" t="s">
        <v>44</v>
      </c>
      <c r="L8" s="15"/>
    </row>
    <row r="9" customFormat="false" ht="23.85" hidden="false" customHeight="false" outlineLevel="0" collapsed="false">
      <c r="A9" s="14" t="n">
        <v>4</v>
      </c>
      <c r="B9" s="15" t="s">
        <v>312</v>
      </c>
      <c r="C9" s="15" t="s">
        <v>313</v>
      </c>
      <c r="D9" s="14" t="s">
        <v>52</v>
      </c>
      <c r="E9" s="14" t="s">
        <v>3</v>
      </c>
      <c r="F9" s="14" t="s">
        <v>70</v>
      </c>
      <c r="G9" s="15" t="s">
        <v>314</v>
      </c>
      <c r="H9" s="15" t="s">
        <v>315</v>
      </c>
      <c r="I9" s="14" t="s">
        <v>56</v>
      </c>
      <c r="J9" s="14" t="s">
        <v>222</v>
      </c>
      <c r="K9" s="16" t="s">
        <v>44</v>
      </c>
      <c r="L9" s="15"/>
    </row>
    <row r="10" customFormat="false" ht="23.85" hidden="false" customHeight="false" outlineLevel="0" collapsed="false">
      <c r="A10" s="14" t="n">
        <v>5</v>
      </c>
      <c r="B10" s="15" t="s">
        <v>316</v>
      </c>
      <c r="C10" s="15" t="s">
        <v>317</v>
      </c>
      <c r="D10" s="14" t="s">
        <v>61</v>
      </c>
      <c r="E10" s="14" t="s">
        <v>3</v>
      </c>
      <c r="F10" s="14" t="s">
        <v>75</v>
      </c>
      <c r="G10" s="15" t="s">
        <v>63</v>
      </c>
      <c r="H10" s="15" t="s">
        <v>318</v>
      </c>
      <c r="I10" s="14" t="s">
        <v>56</v>
      </c>
      <c r="J10" s="14" t="s">
        <v>65</v>
      </c>
      <c r="K10" s="16" t="s">
        <v>44</v>
      </c>
      <c r="L10" s="15" t="s">
        <v>319</v>
      </c>
    </row>
    <row r="11" customFormat="false" ht="35.05" hidden="false" customHeight="false" outlineLevel="0" collapsed="false">
      <c r="A11" s="14" t="n">
        <v>6</v>
      </c>
      <c r="B11" s="15" t="s">
        <v>320</v>
      </c>
      <c r="C11" s="15" t="s">
        <v>321</v>
      </c>
      <c r="D11" s="14" t="s">
        <v>322</v>
      </c>
      <c r="E11" s="14" t="s">
        <v>3</v>
      </c>
      <c r="F11" s="14" t="s">
        <v>70</v>
      </c>
      <c r="G11" s="15" t="s">
        <v>323</v>
      </c>
      <c r="H11" s="15" t="s">
        <v>324</v>
      </c>
      <c r="I11" s="14" t="s">
        <v>42</v>
      </c>
      <c r="J11" s="14" t="s">
        <v>180</v>
      </c>
      <c r="K11" s="16" t="s">
        <v>44</v>
      </c>
      <c r="L11" s="15" t="s">
        <v>325</v>
      </c>
    </row>
    <row r="12" customFormat="false" ht="23.85" hidden="false" customHeight="false" outlineLevel="0" collapsed="false">
      <c r="A12" s="14" t="n">
        <v>7</v>
      </c>
      <c r="B12" s="15" t="s">
        <v>326</v>
      </c>
      <c r="C12" s="15" t="s">
        <v>327</v>
      </c>
      <c r="D12" s="14" t="s">
        <v>328</v>
      </c>
      <c r="E12" s="14" t="s">
        <v>3</v>
      </c>
      <c r="F12" s="14" t="s">
        <v>329</v>
      </c>
      <c r="G12" s="15" t="s">
        <v>330</v>
      </c>
      <c r="H12" s="15" t="s">
        <v>331</v>
      </c>
      <c r="I12" s="14" t="s">
        <v>56</v>
      </c>
      <c r="J12" s="14" t="s">
        <v>83</v>
      </c>
      <c r="K12" s="16" t="s">
        <v>44</v>
      </c>
      <c r="L12" s="15"/>
    </row>
    <row r="13" customFormat="false" ht="15" hidden="false" customHeight="false" outlineLevel="0" collapsed="false">
      <c r="A13" s="12" t="s">
        <v>78</v>
      </c>
      <c r="B13" s="13"/>
      <c r="C13" s="13"/>
      <c r="D13" s="13"/>
      <c r="E13" s="13"/>
      <c r="F13" s="13"/>
      <c r="G13" s="13"/>
      <c r="H13" s="13"/>
      <c r="I13" s="13"/>
      <c r="J13" s="13"/>
      <c r="K13" s="13"/>
      <c r="L13" s="13"/>
    </row>
    <row r="14" customFormat="false" ht="35.05" hidden="false" customHeight="false" outlineLevel="0" collapsed="false">
      <c r="A14" s="14" t="n">
        <v>8</v>
      </c>
      <c r="B14" s="15" t="s">
        <v>332</v>
      </c>
      <c r="C14" s="15" t="s">
        <v>333</v>
      </c>
      <c r="D14" s="14" t="s">
        <v>334</v>
      </c>
      <c r="E14" s="14" t="s">
        <v>3</v>
      </c>
      <c r="F14" s="14" t="s">
        <v>125</v>
      </c>
      <c r="G14" s="15" t="s">
        <v>63</v>
      </c>
      <c r="H14" s="15" t="s">
        <v>335</v>
      </c>
      <c r="I14" s="14" t="s">
        <v>134</v>
      </c>
      <c r="J14" s="14" t="s">
        <v>257</v>
      </c>
      <c r="K14" s="16" t="s">
        <v>44</v>
      </c>
      <c r="L14" s="15" t="s">
        <v>336</v>
      </c>
    </row>
    <row r="15" customFormat="false" ht="23.85" hidden="false" customHeight="false" outlineLevel="0" collapsed="false">
      <c r="A15" s="14" t="n">
        <v>9</v>
      </c>
      <c r="B15" s="15" t="s">
        <v>337</v>
      </c>
      <c r="C15" s="15" t="s">
        <v>338</v>
      </c>
      <c r="D15" s="14" t="s">
        <v>339</v>
      </c>
      <c r="E15" s="14" t="s">
        <v>3</v>
      </c>
      <c r="F15" s="14" t="s">
        <v>75</v>
      </c>
      <c r="G15" s="15" t="s">
        <v>340</v>
      </c>
      <c r="H15" s="15" t="s">
        <v>341</v>
      </c>
      <c r="I15" s="14" t="s">
        <v>209</v>
      </c>
      <c r="J15" s="14" t="s">
        <v>342</v>
      </c>
      <c r="K15" s="16" t="s">
        <v>44</v>
      </c>
      <c r="L15" s="15" t="s">
        <v>343</v>
      </c>
    </row>
    <row r="16" customFormat="false" ht="46.25" hidden="false" customHeight="false" outlineLevel="0" collapsed="false">
      <c r="A16" s="14" t="n">
        <v>10</v>
      </c>
      <c r="B16" s="15" t="s">
        <v>344</v>
      </c>
      <c r="C16" s="15" t="s">
        <v>345</v>
      </c>
      <c r="D16" s="14" t="s">
        <v>346</v>
      </c>
      <c r="E16" s="14" t="s">
        <v>3</v>
      </c>
      <c r="F16" s="14" t="s">
        <v>70</v>
      </c>
      <c r="G16" s="15" t="s">
        <v>63</v>
      </c>
      <c r="H16" s="15" t="s">
        <v>347</v>
      </c>
      <c r="I16" s="14" t="s">
        <v>134</v>
      </c>
      <c r="J16" s="14" t="s">
        <v>348</v>
      </c>
      <c r="K16" s="16" t="s">
        <v>44</v>
      </c>
      <c r="L16" s="15" t="s">
        <v>349</v>
      </c>
    </row>
    <row r="17" customFormat="false" ht="35.05" hidden="false" customHeight="false" outlineLevel="0" collapsed="false">
      <c r="A17" s="14" t="n">
        <v>11</v>
      </c>
      <c r="B17" s="15" t="s">
        <v>350</v>
      </c>
      <c r="C17" s="15" t="s">
        <v>351</v>
      </c>
      <c r="D17" s="14" t="s">
        <v>254</v>
      </c>
      <c r="E17" s="14" t="s">
        <v>3</v>
      </c>
      <c r="F17" s="14" t="s">
        <v>352</v>
      </c>
      <c r="G17" s="15" t="s">
        <v>63</v>
      </c>
      <c r="H17" s="15" t="s">
        <v>353</v>
      </c>
      <c r="I17" s="14" t="s">
        <v>209</v>
      </c>
      <c r="J17" s="14" t="s">
        <v>257</v>
      </c>
      <c r="K17" s="16" t="s">
        <v>44</v>
      </c>
      <c r="L17" s="15"/>
    </row>
    <row r="18" customFormat="false" ht="23.85" hidden="false" customHeight="false" outlineLevel="0" collapsed="false">
      <c r="A18" s="14" t="n">
        <v>12</v>
      </c>
      <c r="B18" s="15" t="s">
        <v>258</v>
      </c>
      <c r="C18" s="15" t="s">
        <v>354</v>
      </c>
      <c r="D18" s="14" t="s">
        <v>260</v>
      </c>
      <c r="E18" s="14" t="s">
        <v>3</v>
      </c>
      <c r="F18" s="14" t="s">
        <v>195</v>
      </c>
      <c r="G18" s="15" t="s">
        <v>355</v>
      </c>
      <c r="H18" s="15" t="s">
        <v>276</v>
      </c>
      <c r="I18" s="14" t="s">
        <v>134</v>
      </c>
      <c r="J18" s="14" t="s">
        <v>83</v>
      </c>
      <c r="K18" s="16" t="s">
        <v>44</v>
      </c>
      <c r="L18" s="15"/>
    </row>
    <row r="19" customFormat="false" ht="15" hidden="false" customHeight="false" outlineLevel="0" collapsed="false">
      <c r="A19" s="12" t="s">
        <v>137</v>
      </c>
      <c r="B19" s="13"/>
      <c r="C19" s="13"/>
      <c r="D19" s="13"/>
      <c r="E19" s="13"/>
      <c r="F19" s="13"/>
      <c r="G19" s="13"/>
      <c r="H19" s="13"/>
      <c r="I19" s="13"/>
      <c r="J19" s="13"/>
      <c r="K19" s="13"/>
      <c r="L19" s="13"/>
    </row>
    <row r="20" customFormat="false" ht="23.85" hidden="false" customHeight="false" outlineLevel="0" collapsed="false">
      <c r="A20" s="14" t="n">
        <v>13</v>
      </c>
      <c r="B20" s="15" t="s">
        <v>212</v>
      </c>
      <c r="C20" s="15" t="s">
        <v>356</v>
      </c>
      <c r="D20" s="14" t="s">
        <v>357</v>
      </c>
      <c r="E20" s="14" t="s">
        <v>3</v>
      </c>
      <c r="F20" s="14" t="s">
        <v>358</v>
      </c>
      <c r="G20" s="15" t="s">
        <v>63</v>
      </c>
      <c r="H20" s="15" t="s">
        <v>359</v>
      </c>
      <c r="I20" s="14" t="s">
        <v>209</v>
      </c>
      <c r="J20" s="14" t="s">
        <v>360</v>
      </c>
      <c r="K20" s="16" t="s">
        <v>44</v>
      </c>
      <c r="L20" s="15" t="s">
        <v>361</v>
      </c>
    </row>
    <row r="21" customFormat="false" ht="15.75" hidden="false" customHeight="true" outlineLevel="0" collapsed="false">
      <c r="A21" s="14" t="n">
        <v>14</v>
      </c>
      <c r="B21" s="15" t="s">
        <v>362</v>
      </c>
      <c r="C21" s="15" t="s">
        <v>363</v>
      </c>
      <c r="D21" s="14" t="s">
        <v>364</v>
      </c>
      <c r="E21" s="14" t="s">
        <v>3</v>
      </c>
      <c r="F21" s="14" t="s">
        <v>365</v>
      </c>
      <c r="G21" s="15" t="s">
        <v>63</v>
      </c>
      <c r="H21" s="15" t="s">
        <v>366</v>
      </c>
      <c r="I21" s="14" t="s">
        <v>209</v>
      </c>
      <c r="J21" s="14" t="s">
        <v>367</v>
      </c>
      <c r="K21" s="16" t="s">
        <v>44</v>
      </c>
      <c r="L21" s="15" t="s">
        <v>368</v>
      </c>
    </row>
    <row r="22" customFormat="false" ht="15.75" hidden="false" customHeight="true" outlineLevel="0" collapsed="false">
      <c r="A22" s="14" t="n">
        <v>15</v>
      </c>
      <c r="B22" s="15" t="s">
        <v>157</v>
      </c>
      <c r="C22" s="15" t="s">
        <v>369</v>
      </c>
      <c r="D22" s="14" t="s">
        <v>165</v>
      </c>
      <c r="E22" s="14" t="s">
        <v>3</v>
      </c>
      <c r="F22" s="14" t="s">
        <v>370</v>
      </c>
      <c r="G22" s="15" t="s">
        <v>63</v>
      </c>
      <c r="H22" s="15" t="s">
        <v>371</v>
      </c>
      <c r="I22" s="14" t="s">
        <v>163</v>
      </c>
      <c r="J22" s="14" t="s">
        <v>83</v>
      </c>
      <c r="K22" s="16" t="s">
        <v>44</v>
      </c>
      <c r="L22" s="15"/>
    </row>
    <row r="23" customFormat="false" ht="15.75" hidden="false" customHeight="true" outlineLevel="0" collapsed="false">
      <c r="A23" s="14" t="n">
        <v>16</v>
      </c>
      <c r="B23" s="15" t="s">
        <v>212</v>
      </c>
      <c r="C23" s="15" t="s">
        <v>372</v>
      </c>
      <c r="D23" s="14" t="s">
        <v>373</v>
      </c>
      <c r="E23" s="14" t="s">
        <v>3</v>
      </c>
      <c r="F23" s="14" t="s">
        <v>75</v>
      </c>
      <c r="G23" s="15" t="s">
        <v>63</v>
      </c>
      <c r="H23" s="15" t="s">
        <v>374</v>
      </c>
      <c r="I23" s="14" t="s">
        <v>209</v>
      </c>
      <c r="J23" s="14" t="s">
        <v>375</v>
      </c>
      <c r="K23" s="16" t="s">
        <v>44</v>
      </c>
      <c r="L23" s="15" t="s">
        <v>376</v>
      </c>
    </row>
    <row r="24" customFormat="false" ht="15.75" hidden="false" customHeight="true" outlineLevel="0" collapsed="false">
      <c r="A24" s="14" t="n">
        <v>17</v>
      </c>
      <c r="B24" s="15" t="s">
        <v>377</v>
      </c>
      <c r="C24" s="15" t="s">
        <v>378</v>
      </c>
      <c r="D24" s="14" t="s">
        <v>379</v>
      </c>
      <c r="E24" s="14" t="s">
        <v>3</v>
      </c>
      <c r="F24" s="14" t="s">
        <v>380</v>
      </c>
      <c r="G24" s="15" t="s">
        <v>63</v>
      </c>
      <c r="H24" s="15" t="s">
        <v>381</v>
      </c>
      <c r="I24" s="14" t="s">
        <v>209</v>
      </c>
      <c r="J24" s="14" t="s">
        <v>382</v>
      </c>
      <c r="K24" s="16" t="s">
        <v>44</v>
      </c>
      <c r="L24" s="15"/>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24"/>
  <conditionalFormatting sqref="E5:E24">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8" r:id="rId3" display="Apply ↗"/>
    <hyperlink ref="K9" r:id="rId4" display="Apply ↗"/>
    <hyperlink ref="K10" r:id="rId5" display="Apply ↗"/>
    <hyperlink ref="K11" r:id="rId6" display="Apply ↗"/>
    <hyperlink ref="K12" r:id="rId7" display="Apply ↗"/>
    <hyperlink ref="K14" r:id="rId8" display="Apply ↗"/>
    <hyperlink ref="K15" r:id="rId9" display="Apply ↗"/>
    <hyperlink ref="K16" r:id="rId10" display="Apply ↗"/>
    <hyperlink ref="K17" r:id="rId11" display="Apply ↗"/>
    <hyperlink ref="K18" r:id="rId12" display="Apply ↗"/>
    <hyperlink ref="K20" r:id="rId13" display="Apply ↗"/>
    <hyperlink ref="K21" r:id="rId14" display="Apply ↗"/>
    <hyperlink ref="K22" r:id="rId15" display="Apply ↗"/>
    <hyperlink ref="K23" r:id="rId16" display="Apply ↗"/>
    <hyperlink ref="K24" r:id="rId17"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48"/>
    <col collapsed="false" customWidth="true" hidden="false" outlineLevel="0" max="4" min="4" style="0" width="20"/>
    <col collapsed="false" customWidth="true" hidden="false" outlineLevel="0" max="6" min="5" style="0" width="10"/>
    <col collapsed="false" customWidth="true" hidden="false" outlineLevel="0" max="7" min="7" style="0" width="16"/>
    <col collapsed="false" customWidth="true" hidden="false" outlineLevel="0" max="8" min="8" style="0" width="44"/>
    <col collapsed="false" customWidth="true" hidden="false" outlineLevel="0" max="26" min="9" style="0" width="8.71"/>
  </cols>
  <sheetData>
    <row r="1" customFormat="false" ht="17.35" hidden="false" customHeight="false" outlineLevel="0" collapsed="false">
      <c r="A1" s="10" t="s">
        <v>383</v>
      </c>
    </row>
    <row r="2" customFormat="false" ht="15" hidden="false" customHeight="false" outlineLevel="0" collapsed="false">
      <c r="A2" s="11" t="s">
        <v>384</v>
      </c>
    </row>
    <row r="4" customFormat="false" ht="25.5" hidden="false" customHeight="true" outlineLevel="0" collapsed="false">
      <c r="A4" s="3" t="s">
        <v>23</v>
      </c>
      <c r="B4" s="3" t="s">
        <v>385</v>
      </c>
      <c r="C4" s="3" t="s">
        <v>25</v>
      </c>
      <c r="D4" s="3" t="s">
        <v>386</v>
      </c>
      <c r="E4" s="3" t="s">
        <v>387</v>
      </c>
      <c r="F4" s="3" t="s">
        <v>32</v>
      </c>
      <c r="G4" s="3" t="s">
        <v>388</v>
      </c>
      <c r="H4" s="3" t="s">
        <v>34</v>
      </c>
    </row>
    <row r="5" customFormat="false" ht="15" hidden="false" customHeight="false" outlineLevel="0" collapsed="false">
      <c r="A5" s="12" t="s">
        <v>389</v>
      </c>
      <c r="B5" s="13"/>
      <c r="C5" s="13"/>
      <c r="D5" s="13"/>
      <c r="E5" s="13"/>
      <c r="F5" s="13"/>
      <c r="G5" s="13"/>
      <c r="H5" s="13"/>
    </row>
    <row r="6" customFormat="false" ht="23.85" hidden="false" customHeight="false" outlineLevel="0" collapsed="false">
      <c r="A6" s="14" t="n">
        <v>1</v>
      </c>
      <c r="B6" s="14" t="s">
        <v>390</v>
      </c>
      <c r="C6" s="15" t="s">
        <v>391</v>
      </c>
      <c r="D6" s="14" t="s">
        <v>392</v>
      </c>
      <c r="E6" s="14" t="s">
        <v>393</v>
      </c>
      <c r="F6" s="14" t="s">
        <v>348</v>
      </c>
      <c r="G6" s="16" t="s">
        <v>44</v>
      </c>
      <c r="H6" s="15" t="s">
        <v>394</v>
      </c>
    </row>
    <row r="7" customFormat="false" ht="15" hidden="false" customHeight="false" outlineLevel="0" collapsed="false">
      <c r="A7" s="14" t="n">
        <v>2</v>
      </c>
      <c r="B7" s="14" t="s">
        <v>390</v>
      </c>
      <c r="C7" s="15" t="s">
        <v>395</v>
      </c>
      <c r="D7" s="14" t="s">
        <v>396</v>
      </c>
      <c r="E7" s="14" t="s">
        <v>397</v>
      </c>
      <c r="F7" s="14" t="s">
        <v>348</v>
      </c>
      <c r="G7" s="16" t="s">
        <v>44</v>
      </c>
      <c r="H7" s="15" t="s">
        <v>398</v>
      </c>
    </row>
    <row r="8" customFormat="false" ht="15" hidden="false" customHeight="false" outlineLevel="0" collapsed="false">
      <c r="A8" s="14" t="n">
        <v>3</v>
      </c>
      <c r="B8" s="14" t="s">
        <v>390</v>
      </c>
      <c r="C8" s="15" t="s">
        <v>399</v>
      </c>
      <c r="D8" s="14" t="s">
        <v>396</v>
      </c>
      <c r="E8" s="14" t="s">
        <v>397</v>
      </c>
      <c r="F8" s="14" t="s">
        <v>348</v>
      </c>
      <c r="G8" s="16" t="s">
        <v>44</v>
      </c>
      <c r="H8" s="15" t="s">
        <v>398</v>
      </c>
    </row>
    <row r="9" customFormat="false" ht="15" hidden="false" customHeight="false" outlineLevel="0" collapsed="false">
      <c r="A9" s="14" t="n">
        <v>4</v>
      </c>
      <c r="B9" s="14" t="s">
        <v>390</v>
      </c>
      <c r="C9" s="15" t="s">
        <v>400</v>
      </c>
      <c r="D9" s="14" t="s">
        <v>401</v>
      </c>
      <c r="E9" s="14" t="s">
        <v>402</v>
      </c>
      <c r="F9" s="14" t="s">
        <v>348</v>
      </c>
      <c r="G9" s="16" t="s">
        <v>44</v>
      </c>
      <c r="H9" s="15" t="s">
        <v>398</v>
      </c>
    </row>
    <row r="10" customFormat="false" ht="23.85" hidden="false" customHeight="false" outlineLevel="0" collapsed="false">
      <c r="A10" s="14" t="n">
        <v>5</v>
      </c>
      <c r="B10" s="14" t="s">
        <v>390</v>
      </c>
      <c r="C10" s="15" t="s">
        <v>403</v>
      </c>
      <c r="D10" s="14" t="s">
        <v>404</v>
      </c>
      <c r="E10" s="14" t="s">
        <v>402</v>
      </c>
      <c r="F10" s="14" t="s">
        <v>348</v>
      </c>
      <c r="G10" s="16" t="s">
        <v>44</v>
      </c>
      <c r="H10" s="15" t="s">
        <v>405</v>
      </c>
    </row>
    <row r="11" customFormat="false" ht="15" hidden="false" customHeight="false" outlineLevel="0" collapsed="false">
      <c r="A11" s="12" t="s">
        <v>406</v>
      </c>
      <c r="B11" s="13"/>
      <c r="C11" s="13"/>
      <c r="D11" s="13"/>
      <c r="E11" s="13"/>
      <c r="F11" s="13"/>
      <c r="G11" s="13"/>
      <c r="H11" s="13"/>
    </row>
    <row r="12" customFormat="false" ht="15" hidden="false" customHeight="false" outlineLevel="0" collapsed="false">
      <c r="A12" s="14" t="n">
        <v>6</v>
      </c>
      <c r="B12" s="14" t="s">
        <v>407</v>
      </c>
      <c r="C12" s="15" t="s">
        <v>408</v>
      </c>
      <c r="D12" s="14" t="s">
        <v>409</v>
      </c>
      <c r="E12" s="14" t="s">
        <v>410</v>
      </c>
      <c r="F12" s="14" t="s">
        <v>411</v>
      </c>
      <c r="G12" s="16" t="s">
        <v>44</v>
      </c>
      <c r="H12" s="15" t="s">
        <v>398</v>
      </c>
    </row>
    <row r="13" customFormat="false" ht="15" hidden="false" customHeight="false" outlineLevel="0" collapsed="false">
      <c r="A13" s="14" t="n">
        <v>7</v>
      </c>
      <c r="B13" s="14" t="s">
        <v>407</v>
      </c>
      <c r="C13" s="15" t="s">
        <v>412</v>
      </c>
      <c r="D13" s="14" t="s">
        <v>409</v>
      </c>
      <c r="E13" s="14" t="s">
        <v>410</v>
      </c>
      <c r="F13" s="14" t="s">
        <v>411</v>
      </c>
      <c r="G13" s="16" t="s">
        <v>44</v>
      </c>
      <c r="H13" s="15" t="s">
        <v>398</v>
      </c>
    </row>
    <row r="14" customFormat="false" ht="15" hidden="false" customHeight="false" outlineLevel="0" collapsed="false">
      <c r="A14" s="12" t="s">
        <v>413</v>
      </c>
      <c r="B14" s="13"/>
      <c r="C14" s="13"/>
      <c r="D14" s="13"/>
      <c r="E14" s="13"/>
      <c r="F14" s="13"/>
      <c r="G14" s="13"/>
      <c r="H14" s="13"/>
    </row>
    <row r="15" customFormat="false" ht="15" hidden="false" customHeight="false" outlineLevel="0" collapsed="false">
      <c r="A15" s="14" t="n">
        <v>8</v>
      </c>
      <c r="B15" s="14" t="s">
        <v>414</v>
      </c>
      <c r="C15" s="15" t="s">
        <v>415</v>
      </c>
      <c r="D15" s="14" t="s">
        <v>416</v>
      </c>
      <c r="E15" s="14" t="s">
        <v>417</v>
      </c>
      <c r="F15" s="14" t="s">
        <v>411</v>
      </c>
      <c r="G15" s="16" t="s">
        <v>44</v>
      </c>
      <c r="H15" s="15" t="s">
        <v>398</v>
      </c>
    </row>
    <row r="16" customFormat="false" ht="15" hidden="false" customHeight="false" outlineLevel="0" collapsed="false">
      <c r="A16" s="12" t="s">
        <v>418</v>
      </c>
      <c r="B16" s="13"/>
      <c r="C16" s="13"/>
      <c r="D16" s="13"/>
      <c r="E16" s="13"/>
      <c r="F16" s="13"/>
      <c r="G16" s="13"/>
      <c r="H16" s="13"/>
    </row>
    <row r="17" customFormat="false" ht="15" hidden="false" customHeight="false" outlineLevel="0" collapsed="false">
      <c r="A17" s="14" t="n">
        <v>9</v>
      </c>
      <c r="B17" s="14" t="s">
        <v>419</v>
      </c>
      <c r="C17" s="15" t="s">
        <v>420</v>
      </c>
      <c r="D17" s="14" t="s">
        <v>421</v>
      </c>
      <c r="E17" s="14" t="s">
        <v>422</v>
      </c>
      <c r="F17" s="14" t="s">
        <v>348</v>
      </c>
      <c r="G17" s="16" t="s">
        <v>44</v>
      </c>
      <c r="H17" s="15" t="s">
        <v>398</v>
      </c>
    </row>
    <row r="18" customFormat="false" ht="15" hidden="false" customHeight="false" outlineLevel="0" collapsed="false">
      <c r="A18" s="14" t="n">
        <v>10</v>
      </c>
      <c r="B18" s="14" t="s">
        <v>419</v>
      </c>
      <c r="C18" s="15" t="s">
        <v>423</v>
      </c>
      <c r="D18" s="14" t="s">
        <v>424</v>
      </c>
      <c r="E18" s="14" t="s">
        <v>425</v>
      </c>
      <c r="F18" s="14" t="s">
        <v>348</v>
      </c>
      <c r="G18" s="16" t="s">
        <v>44</v>
      </c>
      <c r="H18" s="15" t="s">
        <v>398</v>
      </c>
    </row>
    <row r="19" customFormat="false" ht="15" hidden="false" customHeight="false" outlineLevel="0" collapsed="false">
      <c r="A19" s="14" t="n">
        <v>11</v>
      </c>
      <c r="B19" s="14" t="s">
        <v>419</v>
      </c>
      <c r="C19" s="15" t="s">
        <v>426</v>
      </c>
      <c r="D19" s="14" t="s">
        <v>427</v>
      </c>
      <c r="E19" s="14" t="s">
        <v>417</v>
      </c>
      <c r="F19" s="14" t="s">
        <v>348</v>
      </c>
      <c r="G19" s="16" t="s">
        <v>44</v>
      </c>
      <c r="H19" s="15" t="s">
        <v>398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H19"/>
  <hyperlinks>
    <hyperlink ref="G6" r:id="rId1" display="Apply ↗"/>
    <hyperlink ref="G7" r:id="rId2" display="Apply ↗"/>
    <hyperlink ref="G8" r:id="rId3" display="Apply ↗"/>
    <hyperlink ref="G9" r:id="rId4" display="Apply ↗"/>
    <hyperlink ref="G10" r:id="rId5" display="Apply ↗"/>
    <hyperlink ref="G12" r:id="rId6" display="Apply ↗"/>
    <hyperlink ref="G13" r:id="rId7" display="Apply ↗"/>
    <hyperlink ref="G15" r:id="rId8" display="Apply ↗"/>
    <hyperlink ref="G17" r:id="rId9" display="Apply ↗"/>
    <hyperlink ref="G18" r:id="rId10" display="Apply ↗"/>
    <hyperlink ref="G19" r:id="rId11"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2026-10-11T03:54:01Z</dcterms:created>
  <dc:creator>openpyxl</dc:creator>
  <dc:description/>
  <dc:language>en-US</dc:language>
  <cp:lastModifiedBy/>
  <dcterms:modified xsi:type="dcterms:W3CDTF">2026-10-11T03:54:08Z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