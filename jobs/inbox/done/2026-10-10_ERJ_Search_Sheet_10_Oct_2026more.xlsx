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Customer Support" sheetId="2" r:id="rId6"/>
    <sheet state="visible" name="VA &amp; Admin" sheetId="3" r:id="rId7"/>
    <sheet state="visible" name="HR &amp; Legal" sheetId="4" r:id="rId8"/>
    <sheet state="visible" name="Languages &amp; Teaching" sheetId="5" r:id="rId9"/>
    <sheet state="visible" name="Finance &amp; Accounting" sheetId="6" r:id="rId10"/>
    <sheet state="visible" name="Sales &amp; Marketing" sheetId="7" r:id="rId11"/>
    <sheet state="visible" name="Creative &amp; Content" sheetId="8" r:id="rId12"/>
    <sheet state="visible" name="Tech &amp; Operations" sheetId="9" r:id="rId13"/>
    <sheet state="visible" name="micro1 Referral" sheetId="10" r:id="rId14"/>
  </sheets>
  <definedNames>
    <definedName hidden="1" localSheetId="1" name="_xlnm._FilterDatabase">'Customer Support'!$A$4:$L$10</definedName>
    <definedName hidden="1" localSheetId="2" name="_xlnm._FilterDatabase">'VA &amp; Admin'!$A$4:$L$9</definedName>
    <definedName hidden="1" localSheetId="3" name="_xlnm._FilterDatabase">'HR &amp; Legal'!$A$4:$L$20</definedName>
    <definedName hidden="1" localSheetId="4" name="_xlnm._FilterDatabase">'Languages &amp; Teaching'!$A$4:$L$7</definedName>
    <definedName hidden="1" localSheetId="5" name="_xlnm._FilterDatabase">'Finance &amp; Accounting'!$A$4:$L$24</definedName>
    <definedName hidden="1" localSheetId="6" name="_xlnm._FilterDatabase">'Sales &amp; Marketing'!$A$4:$L$13</definedName>
    <definedName hidden="1" localSheetId="7" name="_xlnm._FilterDatabase">'Creative &amp; Content'!$A$4:$L$17</definedName>
    <definedName hidden="1" localSheetId="8" name="_xlnm._FilterDatabase">'Tech &amp; Operations'!$A$4:$L$24</definedName>
    <definedName hidden="1" localSheetId="9" name="_xlnm._FilterDatabase">'micro1 Referral'!$A$4:$H$19</definedName>
  </definedNames>
  <calcPr/>
</workbook>
</file>

<file path=xl/sharedStrings.xml><?xml version="1.0" encoding="utf-8"?>
<sst xmlns="http://schemas.openxmlformats.org/spreadsheetml/2006/main" count="1018" uniqueCount="428">
  <si>
    <t>ERJ Remote Job Search Sheet — 10 Oct 2026</t>
  </si>
  <si>
    <t>Customer Support — new remote roles open to Nigeria (10 Oct 2026)</t>
  </si>
  <si>
    <t>From company career pages (Ashby, Greenhouse, Lever, Workable) and official teaching platforms. Nothing here appears on any earlier ERJ sheet.</t>
  </si>
  <si>
    <t>Posted or first seen 8–10 Oct · nothing from any earlier ERJ sheet (23 Sep → 8 Oct) · priority on thin fields and language/teaching work · company pages only, no gated boards</t>
  </si>
  <si>
    <t>#</t>
  </si>
  <si>
    <t>Tab</t>
  </si>
  <si>
    <t>Who can apply</t>
  </si>
  <si>
    <t>Role</t>
  </si>
  <si>
    <t>Open — Nigeria eligible</t>
  </si>
  <si>
    <t>Company</t>
  </si>
  <si>
    <t>Check before applying</t>
  </si>
  <si>
    <t>Status</t>
  </si>
  <si>
    <t>Level</t>
  </si>
  <si>
    <t>Total</t>
  </si>
  <si>
    <t>Pay (as listed)</t>
  </si>
  <si>
    <t>Key requirements</t>
  </si>
  <si>
    <t>Customer Support</t>
  </si>
  <si>
    <t>ATS</t>
  </si>
  <si>
    <t>Posted</t>
  </si>
  <si>
    <t>Apply link</t>
  </si>
  <si>
    <t>Note</t>
  </si>
  <si>
    <t>▸ Worldwide / global</t>
  </si>
  <si>
    <t>Worldwide; "REGION PREFERENCES: Any"</t>
  </si>
  <si>
    <t>CS1 Patient Onboarding Agent (Customer Support) — CPT-11597</t>
  </si>
  <si>
    <t>20four7VA</t>
  </si>
  <si>
    <t>Entry–Mid</t>
  </si>
  <si>
    <t>Not listed ("competitive rates, weekly payments")</t>
  </si>
  <si>
    <t>1+ yr customer/patient/call-centre support; de-escalation; neutral English accent; 40 hrs/wk 9am–6pm PST</t>
  </si>
  <si>
    <t>Breezy HR</t>
  </si>
  <si>
    <t>08 Oct 2026</t>
  </si>
  <si>
    <t>Apply ↗</t>
  </si>
  <si>
    <t>Independent contractor; includes weekend shifts</t>
  </si>
  <si>
    <t>Operations &amp; Customer Support Virtual Assistant — CPT-11573</t>
  </si>
  <si>
    <t>Customer service + CRM experience; strong phone skills; native/near-native English accent; 15 hrs/wk M/W/F</t>
  </si>
  <si>
    <t>06 Oct 2026</t>
  </si>
  <si>
    <t>Part-time contractor</t>
  </si>
  <si>
    <t>Remote — fully remote company (no country restriction stated)</t>
  </si>
  <si>
    <t>Director of Professional Services, WordPress VIP</t>
  </si>
  <si>
    <t>Automattic</t>
  </si>
  <si>
    <t>Director</t>
  </si>
  <si>
    <t>$130,000–$190,000 USD</t>
  </si>
  <si>
    <t>8+ yrs leading professional services/implementation; enterprise SaaS delivery; services portfolio building</t>
  </si>
  <si>
    <t>Greenhouse</t>
  </si>
  <si>
    <t>2 Oct</t>
  </si>
  <si>
    <t>Reports to VP Customer Experience</t>
  </si>
  <si>
    <t>Home based — Worldwide</t>
  </si>
  <si>
    <t>Associate Linux Support Engineer</t>
  </si>
  <si>
    <t>Canonical</t>
  </si>
  <si>
    <t>VA &amp; Admin — new remote roles open to Nigeria (10 Oct 2026)</t>
  </si>
  <si>
    <t>Entry (Associate)</t>
  </si>
  <si>
    <t>Not listed</t>
  </si>
  <si>
    <t>Linux troubleshooting; 2+ of sysadmin/programming/networking/cloud; strong English</t>
  </si>
  <si>
    <t>Aug–Oct 2026</t>
  </si>
  <si>
    <t>Weekend rotation; travel 2x a year</t>
  </si>
  <si>
    <t>VA &amp; Admin</t>
  </si>
  <si>
    <t>"Worldwide" / "Remote Worldwide"</t>
  </si>
  <si>
    <t>Senior Product Analyst (CX)</t>
  </si>
  <si>
    <t>Social Discovery Group</t>
  </si>
  <si>
    <t>Senior</t>
  </si>
  <si>
    <t>Maths/technical degree; deep A/B-testing and product analytics experience</t>
  </si>
  <si>
    <t>07 Oct 2026</t>
  </si>
  <si>
    <t>HR &amp; Legal</t>
  </si>
  <si>
    <t>Executive Administrative &amp; Research Virtual Assistant — CPT-11608</t>
  </si>
  <si>
    <t>Mid</t>
  </si>
  <si>
    <t>2+ yrs admin/EA/operations; CRM skills; excellent written English; ~10 hrs/wk PT hours</t>
  </si>
  <si>
    <t>05 Oct 2026</t>
  </si>
  <si>
    <t>Languages &amp; Teaching</t>
  </si>
  <si>
    <t>▸ Region list incl. Nigeria</t>
  </si>
  <si>
    <t>HR &amp; Legal — new remote roles open to Nigeria (10 Oct 2026)</t>
  </si>
  <si>
    <t>Finance &amp; Accounting</t>
  </si>
  <si>
    <t>Home based — EMEA</t>
  </si>
  <si>
    <t>Executive Assistant / Corporate Administrator</t>
  </si>
  <si>
    <t>Entry / Junior</t>
  </si>
  <si>
    <t>Business or technical degree; strong communication; travel up to 4x a year</t>
  </si>
  <si>
    <t>Oct 2026</t>
  </si>
  <si>
    <t>Sales &amp; Marketing</t>
  </si>
  <si>
    <t>Not seeking extensive experience — good early-career role</t>
  </si>
  <si>
    <t>"This position will be remote and based in Nigeria"</t>
  </si>
  <si>
    <t>NiMERP Project Coordinator and MARS Engagement Support (Consultant)</t>
  </si>
  <si>
    <t>UNEP (United Nations Environment Programme)</t>
  </si>
  <si>
    <t>Not listed (UN consultancy fee)</t>
  </si>
  <si>
    <t>Master's + 5 yrs relevant experience incl. work with Nigerian government agencies; English</t>
  </si>
  <si>
    <t>UN Careers (Inspira)</t>
  </si>
  <si>
    <t>Creative &amp; Content</t>
  </si>
  <si>
    <t>Legal Administrative Virtual Assistant — CPT-11320</t>
  </si>
  <si>
    <t>Job opening 285931; 12-month consultancy; deadline 15 Oct 2026</t>
  </si>
  <si>
    <t>1–3+ yrs admin/VA experience; professional phone manner; native/near-native English; 20 hrs/wk EST</t>
  </si>
  <si>
    <t>Tech &amp; Operations</t>
  </si>
  <si>
    <t>24 Sep 2026</t>
  </si>
  <si>
    <t>micro1 Referral</t>
  </si>
  <si>
    <t>Part-time contractor; no licence required</t>
  </si>
  <si>
    <t>"Worldwide / Spain / Poland / Portugal / Serbia" (remote)</t>
  </si>
  <si>
    <t>Executive Search Partner</t>
  </si>
  <si>
    <t>5–7 yrs hands-on executive search; closed mid-senior/executive tech roles; EMEA recruiting</t>
  </si>
  <si>
    <t>01 Oct 2026</t>
  </si>
  <si>
    <t>Notes</t>
  </si>
  <si>
    <t>• Every row is FULLY remote and open to people living in Nigeria: the posting names Nigeria, or says Worldwide / Anywhere / Africa / EMEA (which includes Nigeria). Anything that said only "Remote" with no country, needed US/UK/EU work rights, a US licence, or a foreign language was removed.</t>
  </si>
  <si>
    <t>• Wider net this round: Canonical, Automattic, Alpaca, Oyster, Moniepoint, M-KOPA, OpenFn, ALX Africa, Renmoney, Helium Health, Huzzle, 20four7VA, Social Discovery Group, AtlasBrands, Minerva, UNEP, Gigmo, Gramian, Brainbase plus Scale Army, TalentPop, Remotasks and micro1. Each job page opened and confirmed live on 10 Oct.</t>
  </si>
  <si>
    <t>• Thin fields now covered: customer support, VA/admin, HR, legal, finance/bookkeeping and teaching. EMEA rows (Canonical, Oyster, Alpaca) cover Europe, Middle East and Africa; Canonical runs 2–4 paid company events a year.</t>
  </si>
  <si>
    <t>• Yoruba / Igbo / Hausa: no new openings since 8 Oct; the 8 Oct Languages tab roles are still live.</t>
  </si>
  <si>
    <t>• Removed after checking: Wikimedia, Mozilla, GitLab, Khan Academy, Zapier, Kraken (country lists exclude Nigeria); RateHawk, Faculty Online, Mindrift, LILT gaming roles (no country list); Automattic VIP support (US citizens); Pearl, Voxidea (LatAm only); Stay Group (gambling); micro1 US-licensed medical/legal roles.</t>
  </si>
  <si>
    <t>Remote — EMEA</t>
  </si>
  <si>
    <t>People Operations Partner</t>
  </si>
  <si>
    <t>Alpaca</t>
  </si>
  <si>
    <t>Junior–Mid (1-3 yrs)</t>
  </si>
  <si>
    <t>Not listed (+ stock options, $150/mo stipend)</t>
  </si>
  <si>
    <t>1-3 yrs People/HR Ops; employee lifecycle admin; multi-country workforce comfort</t>
  </si>
  <si>
    <t>19 Sep</t>
  </si>
  <si>
    <t>Works across time zones</t>
  </si>
  <si>
    <t>Executive Search Lead — Technology</t>
  </si>
  <si>
    <t>Senior tech executive-search experience; SQL or Python for analysis; behavioural interviewing</t>
  </si>
  <si>
    <t>Home based — Americas or EMEA</t>
  </si>
  <si>
    <t>HR Generalist</t>
  </si>
  <si>
    <t>HR qualification; working knowledge of EMEA or Americas employment law; travel up to 4x a year</t>
  </si>
  <si>
    <t>Home based — Americas or EMEA (or London office)</t>
  </si>
  <si>
    <t>Legal Counsel — Regulatory Compliance, Product &amp; Privacy</t>
  </si>
  <si>
    <t>Legal Advisor / Counsel</t>
  </si>
  <si>
    <t>Law degree + active (or in-progress) practising licence, any jurisdiction; compliance/privacy exposure; excellent English drafting</t>
  </si>
  <si>
    <t>No specific bar jurisdiction required</t>
  </si>
  <si>
    <t>Organisational Development Associate</t>
  </si>
  <si>
    <t>Early career (≤2 yrs post-grad)</t>
  </si>
  <si>
    <t>Early leadership/organising record; interest in org psychology/behavioural science; coachable</t>
  </si>
  <si>
    <t>Remote: India, Kenya, Lagos (Nigeria), Pakistan, Poland, South Africa, Spain</t>
  </si>
  <si>
    <t>Engineering Relations Partner</t>
  </si>
  <si>
    <t>Moniepoint</t>
  </si>
  <si>
    <t>Mid-Senior</t>
  </si>
  <si>
    <t>Ex-software engineer; fintech/high-scale background; strong technical writing</t>
  </si>
  <si>
    <t>Live Oct 2026</t>
  </si>
  <si>
    <t>Engineering employer-brand/talent role; posting says 'fully remote environment'</t>
  </si>
  <si>
    <t>Location "EMEA"; "all of Oyster's positions are fully remote"; 3–4 hrs CET overlap</t>
  </si>
  <si>
    <t>Legal Counsel (Employment Products)</t>
  </si>
  <si>
    <t>Oyster HR</t>
  </si>
  <si>
    <t>Mid–Senior</t>
  </si>
  <si>
    <t>Law degree + admission in any jurisdiction; 4+ yrs employment law</t>
  </si>
  <si>
    <t>Ashby</t>
  </si>
  <si>
    <t>26 Jun 2026</t>
  </si>
  <si>
    <t>Older posting but still open; must be authorised to work where you live</t>
  </si>
  <si>
    <t>▸ Nigeria-based remote</t>
  </si>
  <si>
    <t>Remote, Lagos, Nigeria</t>
  </si>
  <si>
    <t>Early Careers Talent Acquisition Specialist</t>
  </si>
  <si>
    <t>Mid (5-7 yrs)</t>
  </si>
  <si>
    <t>5-7 yrs recruiting, ideally campus/graduate hiring; multi-stakeholder coordination; ATS tools</t>
  </si>
  <si>
    <t>22 Sep</t>
  </si>
  <si>
    <t>Listed as Remote with Lagos tag</t>
  </si>
  <si>
    <t>Fraud Investigation Officer</t>
  </si>
  <si>
    <t>Junior-Mid (2-4 yrs)</t>
  </si>
  <si>
    <t>Degree; 2-4 yrs fraud investigation/banking/fintech risk; transaction analysis</t>
  </si>
  <si>
    <t>Languages &amp; Teaching — new remote roles open to Nigeria (10 Oct 2026)</t>
  </si>
  <si>
    <t>Remote, Nigeria</t>
  </si>
  <si>
    <t>Security &amp; Technology Risk Analyst</t>
  </si>
  <si>
    <t>Mid-Senior (5+ yrs)</t>
  </si>
  <si>
    <t>5+ yrs operational/cyber/tech risk; risk assessments; KPI dashboards for execs</t>
  </si>
  <si>
    <t>Finance &amp; Accounting — new remote roles open to Nigeria (10 Oct 2026)</t>
  </si>
  <si>
    <t>Talent Acquisition Specialist</t>
  </si>
  <si>
    <t>Mid–Senior (5+ yrs)</t>
  </si>
  <si>
    <t>Not listed (pension, HMO, annual bonus)</t>
  </si>
  <si>
    <t>5+ yrs full-cycle recruiting; HR/technical education; agency + in-house, tech &amp; non-tech hiring</t>
  </si>
  <si>
    <t>Sales &amp; Marketing — new remote roles open to Nigeria (10 Oct 2026)</t>
  </si>
  <si>
    <t>31 Aug</t>
  </si>
  <si>
    <t>Nigeria-based (remote)</t>
  </si>
  <si>
    <t>AI Trainers Network - English</t>
  </si>
  <si>
    <t>Jobgether (for Welo Data)</t>
  </si>
  <si>
    <t>Entry level</t>
  </si>
  <si>
    <t>Per project</t>
  </si>
  <si>
    <t>Native/near-native English; annotate and rate AI answers, write prompts</t>
  </si>
  <si>
    <t>Lever</t>
  </si>
  <si>
    <t>Accounting, Bookkeeping &amp; Operations Virtual Assistant — CPT-11564</t>
  </si>
  <si>
    <t>Bookkeeping + QuickBooks Multi-Currency; strong Excel; 20 hrs/wk incl. 4–7pm EST</t>
  </si>
  <si>
    <t>04 Oct 2026</t>
  </si>
  <si>
    <t>E-Learning Instructional Designer</t>
  </si>
  <si>
    <t>Jobgether (partner company)</t>
  </si>
  <si>
    <t>2+ yrs</t>
  </si>
  <si>
    <t>6-month contract; Mon–Fri on Australian (AEST) hours; Articulate, LMS, SCORM</t>
  </si>
  <si>
    <t>Finance &amp; Tax Support Virtual Assistant — CPT-11624</t>
  </si>
  <si>
    <t>Strong QuickBooks; financial tracking &amp; reporting; good written English; 10 hrs/wk PT</t>
  </si>
  <si>
    <t>Sales Development &amp; Sales Operations Virtual Assistant — CPT-11531</t>
  </si>
  <si>
    <t>B2B outbound prospecting, cold calling, appointment setting, CRM pipeline; native/near-native English; 40 hrs/wk EST</t>
  </si>
  <si>
    <t>No CPA/EA required</t>
  </si>
  <si>
    <t>"Remote - Worldwide" (4+ hrs overlap 9am–5pm EST)</t>
  </si>
  <si>
    <t>Accounting Manager</t>
  </si>
  <si>
    <t>AtlasBrands</t>
  </si>
  <si>
    <t>$5,000–$8,000/month</t>
  </si>
  <si>
    <t>5+ yrs accounting incl. multi-entity parent co; DTC/e-commerce; QuickBooks Online; managed a bookkeeper</t>
  </si>
  <si>
    <t>09 Oct 2026</t>
  </si>
  <si>
    <t>Full-time contractor</t>
  </si>
  <si>
    <t>Business Development Representative</t>
  </si>
  <si>
    <t>"Worldwide / Warsaw / Belgrade / Tbilisi / Yerevan" (remote)</t>
  </si>
  <si>
    <t>Not listed (base + commission)</t>
  </si>
  <si>
    <t>Proven SDR/outbound record beating quota; enterprise software sales; professional English</t>
  </si>
  <si>
    <t>3+ yrs senior/GL accountant in multi-entity intl company; IFRS and/or US GAAP; B2+ English</t>
  </si>
  <si>
    <t>Travel 2x a year for company events</t>
  </si>
  <si>
    <t>Home based — EMEA (EMEA time zones)</t>
  </si>
  <si>
    <t>Accountant</t>
  </si>
  <si>
    <t>Accounting degree; ACCA/ACA/CPA or similar qualification; IFRS expertise</t>
  </si>
  <si>
    <t>'This role is remote, Africa-based' (GMT+1/+2 preferred)</t>
  </si>
  <si>
    <t>Enterprise Sales Manager</t>
  </si>
  <si>
    <t>ALX Africa</t>
  </si>
  <si>
    <t>Senior (8+ yrs)</t>
  </si>
  <si>
    <t>Base + commission (not listed)</t>
  </si>
  <si>
    <t>8+ yrs B2B enterprise sales; 3+ yrs leading people; pipeline building</t>
  </si>
  <si>
    <t>In-person company events 2-4x a year (travel paid)</t>
  </si>
  <si>
    <t>Home based — EMEA (or London office)</t>
  </si>
  <si>
    <t>Accounts Payable Clerk</t>
  </si>
  <si>
    <t>Accounting/finance education; strong Excel; organised and deadline-driven</t>
  </si>
  <si>
    <t>Possible travel to client markets</t>
  </si>
  <si>
    <t>Remote — prioritising Americas or Europe / Africa</t>
  </si>
  <si>
    <t>Senior Revenue Operations Manager</t>
  </si>
  <si>
    <t>Senior IC</t>
  </si>
  <si>
    <t>$140,000–$200,000 USD (paid in local currency)</t>
  </si>
  <si>
    <t>6-8+ yrs RevOps incl. a 0→1 build; strong Salesforce; SQL or Python</t>
  </si>
  <si>
    <t>24 Sep</t>
  </si>
  <si>
    <t>AI-written applications disqualified; In-person company events 2-4x a year (travel paid)</t>
  </si>
  <si>
    <t>Home based — EMEA (remote)</t>
  </si>
  <si>
    <t>Accounts Receivable Clerk</t>
  </si>
  <si>
    <t>Accounting/finance education; strong Excel (pivots, lookups); high attention to detail</t>
  </si>
  <si>
    <t>Sales Enablement Manager</t>
  </si>
  <si>
    <t>Senior / Lead</t>
  </si>
  <si>
    <t>Global Payroll Manager</t>
  </si>
  <si>
    <t>MEDDPICC proficiency; built enablement programmes in high-growth markets; travel 2x a year</t>
  </si>
  <si>
    <t>Manager</t>
  </si>
  <si>
    <t>Multi-country payroll experience; payroll compliance &amp; controls; payroll systems + analytics</t>
  </si>
  <si>
    <t>Global Treasury Analyst</t>
  </si>
  <si>
    <t>Remote, based in Sub-Saharan Africa (SA, Kenya, Ethiopia, Nigeria, Rwanda, Uganda)</t>
  </si>
  <si>
    <t>Quantitative degree; CTP/CFA-type certification; global treasury experience</t>
  </si>
  <si>
    <t>Marketing Director</t>
  </si>
  <si>
    <t>OpenFn</t>
  </si>
  <si>
    <t>Director (8+ yrs)</t>
  </si>
  <si>
    <t>8+ yrs tech marketing; demand gen &amp; pipeline; own website/SEO/analytics</t>
  </si>
  <si>
    <t>Workable</t>
  </si>
  <si>
    <t>10 Sep</t>
  </si>
  <si>
    <t>Tax Senior Associate</t>
  </si>
  <si>
    <t>ACA/ACCA/CIMA + CTA/ADIT or equivalent; 3-5 yrs tax at Big 4/Top 10 or multinational</t>
  </si>
  <si>
    <t>Egypt, Argentina, Ethiopia, Nigeria, South Africa</t>
  </si>
  <si>
    <t>SEO &amp; GEO Specialist (Part-time)</t>
  </si>
  <si>
    <t>Scale Army</t>
  </si>
  <si>
    <t>See posting</t>
  </si>
  <si>
    <t>$1k/mo</t>
  </si>
  <si>
    <t>Part-time contract; SEO + generative-engine (AI search) optimisation</t>
  </si>
  <si>
    <t>Location "EMEA"; "must be based within +3/-3 UTC"; fully remote</t>
  </si>
  <si>
    <t>Accounts Payable Analyst</t>
  </si>
  <si>
    <t>3+ yrs AP; advanced ERP (NetSuite a plus); advanced Excel/Sheets</t>
  </si>
  <si>
    <t>Nigeria (UTC+1) is inside the time-zone band</t>
  </si>
  <si>
    <t>Creative &amp; Content — new remote roles open to Nigeria (10 Oct 2026)</t>
  </si>
  <si>
    <t>TELECOMMUTE, Nigeria - Remote (UK working hours)</t>
  </si>
  <si>
    <t>Bookkeeper - Xero Specialist</t>
  </si>
  <si>
    <t>Huzzle</t>
  </si>
  <si>
    <t>Hands-on Xero; UK bookkeeping/HMRC; reconciliations, AP/AR</t>
  </si>
  <si>
    <t>28 Sep</t>
  </si>
  <si>
    <t>UK hours</t>
  </si>
  <si>
    <t>TELECOMMUTE, Nigeria</t>
  </si>
  <si>
    <t>Finance Ops / Bookkeeper (part-time)</t>
  </si>
  <si>
    <t>Expert QuickBooks Online; Canadian payroll/tax knowledge; collections</t>
  </si>
  <si>
    <t>Content, Marketing &amp; Travel Operations Virtual Assistant — CPT-11595</t>
  </si>
  <si>
    <t>Tech &amp; Operations — new remote roles open to Nigeria (10 Oct 2026)</t>
  </si>
  <si>
    <t>Social media scheduling/content support; strong written English; 10 hrs/wk flexible</t>
  </si>
  <si>
    <t>Part-time; placed with Huzzle client</t>
  </si>
  <si>
    <t>Financial Planning Analyst</t>
  </si>
  <si>
    <t>Mid (4-6 yrs)</t>
  </si>
  <si>
    <t>4-6 yrs FP&amp;A; advanced Excel/modelling; multi-entity, multi-currency</t>
  </si>
  <si>
    <t>Head, Group FP&amp;A</t>
  </si>
  <si>
    <t>Head / Senior leadership</t>
  </si>
  <si>
    <t>8-10+ yrs FP&amp;A/corp finance/IB; multi-entity, multi-currency consolidation; ACA/ACCA/CFA</t>
  </si>
  <si>
    <t>Remote — Global Anywhere</t>
  </si>
  <si>
    <t>Senior Communications Specialist — Social Media</t>
  </si>
  <si>
    <t>Sr. Insider Risk Analyst</t>
  </si>
  <si>
    <t>Not listed (+ stock options)</t>
  </si>
  <si>
    <t>Senior experience across major social platforms; social management/analytics tools; strong prioritisation</t>
  </si>
  <si>
    <t>3+ yrs DLP/data protection; tuning DLP in SaaS/endpoint; alert triage &amp; escalation</t>
  </si>
  <si>
    <t>Sep 2026</t>
  </si>
  <si>
    <t>Head, Product Control &amp; Accounting</t>
  </si>
  <si>
    <t>Head / Senior (8+ yrs PQE)</t>
  </si>
  <si>
    <t>ACA/ACCA; Big 4 technical accounting; IFRS 9 &amp; 15</t>
  </si>
  <si>
    <t>Remote — "engineers worldwide"</t>
  </si>
  <si>
    <t>Experienced Software Engineer</t>
  </si>
  <si>
    <t>London; Remote: Nigeria, Poland, Portugal, Spain</t>
  </si>
  <si>
    <t>Senior Product Designer - Design System</t>
  </si>
  <si>
    <t>Product Auditor</t>
  </si>
  <si>
    <t>$70,000–$170,000 USD (paid in local currency)</t>
  </si>
  <si>
    <t>Production PHP &amp; JavaScript; experience at scale; travel 3-4 weeks/yr for meetups</t>
  </si>
  <si>
    <t>Mid (3-5+ yrs)</t>
  </si>
  <si>
    <t>21 Sep</t>
  </si>
  <si>
    <t>Senior (3+ yrs)</t>
  </si>
  <si>
    <t>3-5+ yrs product/systems audit; advanced SQL; payments &amp; reconciliation knowledge</t>
  </si>
  <si>
    <t>Advanced Figma (tokens, components); fintech/SaaS UX; design systems</t>
  </si>
  <si>
    <t>Senior Product Manager, Payments</t>
  </si>
  <si>
    <t>$170,000–$240,000 USD</t>
  </si>
  <si>
    <t>7+ yrs product incl. senior IC; 4+ yrs payments/fintech; reliability mindset</t>
  </si>
  <si>
    <t>Marked New on board</t>
  </si>
  <si>
    <t>Graphic Design &amp; Social Media Specialist</t>
  </si>
  <si>
    <t>$1.1k/mo</t>
  </si>
  <si>
    <t>Contract; US clients</t>
  </si>
  <si>
    <t>Remote — fully remote company (global hiring)</t>
  </si>
  <si>
    <t>Senior Systems Engineer</t>
  </si>
  <si>
    <t>$120,000–$180,000+ USD</t>
  </si>
  <si>
    <t>Large Nginx environments; very large MySQL/MariaDB; PHP apps at scale</t>
  </si>
  <si>
    <t>UGC Video Editor</t>
  </si>
  <si>
    <t>$1.2k–1.8k/mo</t>
  </si>
  <si>
    <t>Contract; short-form UGC ads</t>
  </si>
  <si>
    <t>Home based — Worldwide (teams in all time zones)</t>
  </si>
  <si>
    <t>Software Support Engineer</t>
  </si>
  <si>
    <t>Hands-on Linux/open source; Python, Go, C or C++; CS/STEM background</t>
  </si>
  <si>
    <t>Philippines, Ghana, India, Jamaica, Kenya, Nigeria, Pakistan</t>
  </si>
  <si>
    <t>Web Designer</t>
  </si>
  <si>
    <t>TalentPop</t>
  </si>
  <si>
    <t>$9–10/hr</t>
  </si>
  <si>
    <t>Remote; e-commerce/Shopify web design for TalentPop clients</t>
  </si>
  <si>
    <t>Up to 10% travel</t>
  </si>
  <si>
    <t>"We welcome candidates anywhere in the world" ("Fully remote, worldwide")</t>
  </si>
  <si>
    <t>Senior Product Manager</t>
  </si>
  <si>
    <t>Minerva Project</t>
  </si>
  <si>
    <t>US$100,000–$125,000/yr</t>
  </si>
  <si>
    <t>Independent ownership of software product work from problem definition to launch</t>
  </si>
  <si>
    <t>Marketing Designer (Fractional, 2–3 days/week)</t>
  </si>
  <si>
    <t>Contract, part-week</t>
  </si>
  <si>
    <t>Needs regular working-hour overlap with team</t>
  </si>
  <si>
    <t>Remote - Non-US</t>
  </si>
  <si>
    <t>Threat Intel - AI / LLM Trainer</t>
  </si>
  <si>
    <t>Remotasks (Scale AI)</t>
  </si>
  <si>
    <t>Experienced</t>
  </si>
  <si>
    <t>Not listed (by expertise)</t>
  </si>
  <si>
    <t>Incident response / threat intel / vuln management; GCIH, GCTI, CISSP, OSCP valued; min 5 hrs/week</t>
  </si>
  <si>
    <t>Remote, Nigeria (fully remote)</t>
  </si>
  <si>
    <t>Senior Content Designer</t>
  </si>
  <si>
    <t>Degree in English/Comms/Journalism; 3+ yrs UX writing/copywriting; portfolio</t>
  </si>
  <si>
    <t>30 Sep</t>
  </si>
  <si>
    <t>Senior Illustrator</t>
  </si>
  <si>
    <t>'fully remote - you can be based anywhere in Europe, the Middle East or Africa'</t>
  </si>
  <si>
    <t>Forward Deployed Engineer, EMEA</t>
  </si>
  <si>
    <t>Senior (4-5 yrs)</t>
  </si>
  <si>
    <t>Brainbase Labs</t>
  </si>
  <si>
    <t>4-5 yrs illustration/graphic design; arts/design degree; Illustrator + Photoshop portfolio</t>
  </si>
  <si>
    <t>Own 1+ customer accounts post-sale to deployment; hands-on engineering</t>
  </si>
  <si>
    <t>Occasional travel to customer sites</t>
  </si>
  <si>
    <t>Remote, work from home - India and Nigeria</t>
  </si>
  <si>
    <t>Support Engineer - Power Apps &amp; Power Automate</t>
  </si>
  <si>
    <t>Gigmo Solutions</t>
  </si>
  <si>
    <t>Pay-per-ticket (rates shared before first shift)</t>
  </si>
  <si>
    <t>Canvas &amp; model-driven Power Apps; Power Automate flows; Dataverse</t>
  </si>
  <si>
    <t>18 Sep</t>
  </si>
  <si>
    <t>Remote, Nigeria (also India, Poland, Portugal, Spain; or London)</t>
  </si>
  <si>
    <t>Senior Product Designer (UX)</t>
  </si>
  <si>
    <t>3+ yrs senior product design (UX); advanced Figma incl. tokens/components; fintech/SaaS</t>
  </si>
  <si>
    <t>14 Sep</t>
  </si>
  <si>
    <t>Flexible 4- or 8-hour shift blocks; no fixed salary</t>
  </si>
  <si>
    <t>micro1 — new roles on your referral link (10 Oct 2026)</t>
  </si>
  <si>
    <t>Fully remote within UTC-1 to UTC+3; listed Lagos, Accra, Nairobi, Kampala, Cape Town, Johannesburg</t>
  </si>
  <si>
    <t>Senior Backend Engineer - Mobility (12-month FTC)</t>
  </si>
  <si>
    <t>M-KOPA</t>
  </si>
  <si>
    <t>C#/.NET; event-driven microservices (Service Bus/Kafka); Azure, Kubernetes</t>
  </si>
  <si>
    <t>Every "Apply ↗" opens your micro1 referral link, so applications are credited to you. Remote AI-training / expert contracts; country eligibility is confirmed during micro1 application.</t>
  </si>
  <si>
    <t>9 Oct</t>
  </si>
  <si>
    <t>Field</t>
  </si>
  <si>
    <t>Pay (per hour, as listed)</t>
  </si>
  <si>
    <t>Openings</t>
  </si>
  <si>
    <t>Apply via referral</t>
  </si>
  <si>
    <t>12-month fixed-term contract</t>
  </si>
  <si>
    <t>Remote (Europe/Africa time zones): SA, Kenya, Nigeria, Ghana, Rwanda</t>
  </si>
  <si>
    <t>Staff Software Engineer (Back-End)</t>
  </si>
  <si>
    <t>▸ AI Training &amp; Admin</t>
  </si>
  <si>
    <t>Staff (8+ yrs)</t>
  </si>
  <si>
    <t>8+ yrs backend services; Node.js; designing architectures for reliability at scale</t>
  </si>
  <si>
    <t>AI Training &amp; Admin</t>
  </si>
  <si>
    <t>Video Data Annotator</t>
  </si>
  <si>
    <t>$8–10/hr</t>
  </si>
  <si>
    <t>1000</t>
  </si>
  <si>
    <t>Production Manager</t>
  </si>
  <si>
    <t>$1.7k–2.2k/mo</t>
  </si>
  <si>
    <t>Search the role title on the referral page. Entry level, huge intake</t>
  </si>
  <si>
    <t>AI Agent Evaluator</t>
  </si>
  <si>
    <t>$25–45/hr</t>
  </si>
  <si>
    <t>50</t>
  </si>
  <si>
    <t>Search the role title on the referral page.</t>
  </si>
  <si>
    <t>Senior Software Engineer - AI Code Evaluation</t>
  </si>
  <si>
    <t>Gramian Consulting Group</t>
  </si>
  <si>
    <t>Senior (7+ yrs)</t>
  </si>
  <si>
    <t>Everyday AI Agent Tester</t>
  </si>
  <si>
    <t>7+ yrs; Python/JS/TS/Java/Go; reviewing production code; strong written English</t>
  </si>
  <si>
    <t>1 Oct</t>
  </si>
  <si>
    <t>Human Data Manager</t>
  </si>
  <si>
    <t>$40–60/hr</t>
  </si>
  <si>
    <t>1</t>
  </si>
  <si>
    <t>Human Data Manager, New Grad</t>
  </si>
  <si>
    <t>Not specified</t>
  </si>
  <si>
    <t>AI-training/evaluation work</t>
  </si>
  <si>
    <t>Search the role title on the referral page. Fresh graduates</t>
  </si>
  <si>
    <t>▸ Creative &amp; Media</t>
  </si>
  <si>
    <t>TELECOMMUTE; Lagos, Nigeria</t>
  </si>
  <si>
    <t>DevOps Engineer (contract)</t>
  </si>
  <si>
    <t>Helium Health</t>
  </si>
  <si>
    <t>Mid (3-5 yrs)</t>
  </si>
  <si>
    <t>3-5 yrs DevOps; Docker &amp; Kubernetes; Python/Bash; Terraform</t>
  </si>
  <si>
    <t>23 Sep</t>
  </si>
  <si>
    <t>Creative &amp; Media</t>
  </si>
  <si>
    <t>Filmmaker</t>
  </si>
  <si>
    <t>$21–35/hr</t>
  </si>
  <si>
    <t>250</t>
  </si>
  <si>
    <t>8 Oct</t>
  </si>
  <si>
    <t>Sound Designer</t>
  </si>
  <si>
    <t>Contract</t>
  </si>
  <si>
    <t>▸ Software &amp; Data</t>
  </si>
  <si>
    <t>Product Engineer (AI-Native)</t>
  </si>
  <si>
    <t>Mid-senior</t>
  </si>
  <si>
    <t>Full-time remote</t>
  </si>
  <si>
    <t>Software &amp; Data</t>
  </si>
  <si>
    <t>Game Developer</t>
  </si>
  <si>
    <t>$25–70/hr</t>
  </si>
  <si>
    <t>20</t>
  </si>
  <si>
    <t>▸ Finance</t>
  </si>
  <si>
    <t>Remote HubSpot CRM Implementation Specialist</t>
  </si>
  <si>
    <t>Outsourcing Advantage</t>
  </si>
  <si>
    <t>Proven HubSpot implementation; CRM customisation &amp; data migration; workflow automation</t>
  </si>
  <si>
    <t>Finance</t>
  </si>
  <si>
    <t>17 Sep</t>
  </si>
  <si>
    <t>Financial Expert</t>
  </si>
  <si>
    <t>$30–40/hr</t>
  </si>
  <si>
    <t>10</t>
  </si>
  <si>
    <t>Quantitative Rates Researcher</t>
  </si>
  <si>
    <t>$80–150/hr</t>
  </si>
  <si>
    <t>100</t>
  </si>
  <si>
    <t>Weekends off</t>
  </si>
  <si>
    <t>Rates Trader</t>
  </si>
  <si>
    <t>$80–100/hr</t>
  </si>
  <si>
    <t>TELECOMMUTE; Lagos, Nigeria - 'Remote work from anywhere in the world'</t>
  </si>
  <si>
    <t>Product Manager - SME Lending Lead</t>
  </si>
  <si>
    <t>Renmoney</t>
  </si>
  <si>
    <t>Senior (4-7 yrs)</t>
  </si>
  <si>
    <t>4-7 yrs PM; SME/B2B lending background; scaled lending products</t>
  </si>
  <si>
    <t>29 Sep</t>
  </si>
</sst>
</file>

<file path=xl/styles.xml><?xml version="1.0" encoding="utf-8"?>
<styleSheet xmlns="http://schemas.openxmlformats.org/spreadsheetml/2006/main" xmlns:x14ac="http://schemas.microsoft.com/office/spreadsheetml/2009/9/ac" xmlns:mc="http://schemas.openxmlformats.org/markup-compatibility/2006">
  <fonts count="13">
    <font>
      <sz val="11.0"/>
      <color theme="1"/>
      <name val="Calibri"/>
      <scheme val="minor"/>
    </font>
    <font>
      <b/>
      <sz val="14.0"/>
      <color theme="1"/>
      <name val="Arial"/>
    </font>
    <font>
      <b/>
      <sz val="16.0"/>
      <color theme="1"/>
      <name val="Arial"/>
    </font>
    <font>
      <i/>
      <sz val="9.0"/>
      <color rgb="FF666666"/>
      <name val="Arial"/>
    </font>
    <font>
      <i/>
      <sz val="10.0"/>
      <color rgb="FF666666"/>
      <name val="Arial"/>
    </font>
    <font>
      <b/>
      <sz val="10.0"/>
      <color rgb="FFFFFFFF"/>
      <name val="Arial"/>
    </font>
    <font>
      <b/>
      <sz val="10.0"/>
      <color rgb="FFB23A12"/>
      <name val="Arial"/>
    </font>
    <font>
      <sz val="11.0"/>
      <color theme="1"/>
      <name val="Calibri"/>
    </font>
    <font>
      <sz val="10.0"/>
      <color theme="1"/>
      <name val="Arial"/>
    </font>
    <font>
      <u/>
      <sz val="10.0"/>
      <color rgb="FF0563C1"/>
      <name val="Arial"/>
    </font>
    <font>
      <u/>
      <sz val="10.0"/>
      <color rgb="FF0563C1"/>
      <name val="Arial"/>
    </font>
    <font>
      <b/>
      <sz val="11.0"/>
      <color theme="1"/>
      <name val="Arial"/>
    </font>
    <font>
      <b/>
      <sz val="12.0"/>
      <color theme="1"/>
      <name val="Arial"/>
    </font>
  </fonts>
  <fills count="4">
    <fill>
      <patternFill patternType="none"/>
    </fill>
    <fill>
      <patternFill patternType="lightGray"/>
    </fill>
    <fill>
      <patternFill patternType="solid">
        <fgColor rgb="FF111111"/>
        <bgColor rgb="FF111111"/>
      </patternFill>
    </fill>
    <fill>
      <patternFill patternType="solid">
        <fgColor rgb="FFFDE3D9"/>
        <bgColor rgb="FFFDE3D9"/>
      </patternFill>
    </fill>
  </fills>
  <borders count="3">
    <border/>
    <border>
      <left/>
      <right/>
      <top/>
      <bottom/>
    </border>
    <border>
      <bottom style="thin">
        <color rgb="FFE3E3E3"/>
      </bottom>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3" numFmtId="0" xfId="0" applyAlignment="1" applyFont="1">
      <alignment shrinkToFit="0" vertical="bottom" wrapText="0"/>
    </xf>
    <xf borderId="0" fillId="0" fontId="4" numFmtId="0" xfId="0" applyAlignment="1" applyFont="1">
      <alignment shrinkToFit="0" vertical="bottom" wrapText="0"/>
    </xf>
    <xf borderId="1" fillId="2" fontId="5" numFmtId="0" xfId="0" applyAlignment="1" applyBorder="1" applyFill="1" applyFont="1">
      <alignment shrinkToFit="0" vertical="center" wrapText="1"/>
    </xf>
    <xf borderId="1" fillId="3" fontId="6" numFmtId="0" xfId="0" applyAlignment="1" applyBorder="1" applyFill="1" applyFont="1">
      <alignment shrinkToFit="0" vertical="bottom" wrapText="0"/>
    </xf>
    <xf borderId="1" fillId="3" fontId="7" numFmtId="0" xfId="0" applyAlignment="1" applyBorder="1" applyFill="1" applyFont="1">
      <alignment shrinkToFit="0" vertical="bottom" wrapText="0"/>
    </xf>
    <xf borderId="2" fillId="0" fontId="8" numFmtId="0" xfId="0" applyAlignment="1" applyBorder="1" applyFont="1">
      <alignment shrinkToFit="0" vertical="top" wrapText="0"/>
    </xf>
    <xf borderId="2" fillId="0" fontId="8" numFmtId="0" xfId="0" applyAlignment="1" applyBorder="1" applyFont="1">
      <alignment shrinkToFit="0" vertical="top" wrapText="1"/>
    </xf>
    <xf borderId="2" fillId="0" fontId="9" numFmtId="0" xfId="0" applyAlignment="1" applyBorder="1" applyFont="1">
      <alignment shrinkToFit="0" vertical="top" wrapText="0"/>
    </xf>
    <xf borderId="2" fillId="0" fontId="10" numFmtId="0" xfId="0" applyAlignment="1" applyBorder="1" applyFont="1">
      <alignment shrinkToFit="0" vertical="bottom" wrapText="0"/>
    </xf>
    <xf borderId="2" fillId="0" fontId="8" numFmtId="0" xfId="0" applyAlignment="1" applyBorder="1" applyFont="1">
      <alignment horizontal="center" shrinkToFit="0" vertical="bottom" wrapText="0"/>
    </xf>
    <xf borderId="0" fillId="0" fontId="11" numFmtId="0" xfId="0" applyAlignment="1" applyFont="1">
      <alignment shrinkToFit="0" vertical="bottom" wrapText="0"/>
    </xf>
    <xf borderId="0" fillId="0" fontId="11" numFmtId="0" xfId="0" applyAlignment="1" applyFont="1">
      <alignment horizontal="center" shrinkToFit="0" vertical="bottom" wrapText="0"/>
    </xf>
    <xf borderId="0" fillId="0" fontId="12" numFmtId="0" xfId="0" applyAlignment="1" applyFont="1">
      <alignment shrinkToFit="0" vertical="bottom" wrapText="0"/>
    </xf>
    <xf borderId="0" fillId="0" fontId="8" numFmtId="0" xfId="0" applyAlignment="1" applyFont="1">
      <alignment shrinkToFit="0" vertical="top" wrapText="1"/>
    </xf>
  </cellXfs>
  <cellStyles count="1">
    <cellStyle xfId="0" name="Normal" builtinId="0"/>
  </cellStyles>
  <dxfs count="2">
    <dxf>
      <font>
        <b/>
        <color rgb="FF1E6B34"/>
        <name val="Arial"/>
      </font>
      <fill>
        <patternFill patternType="solid">
          <fgColor rgb="FFDFF3E4"/>
          <bgColor rgb="FFDFF3E4"/>
        </patternFill>
      </fill>
      <border/>
    </dxf>
    <dxf>
      <font>
        <color rgb="FF7A5B00"/>
        <name val="Arial"/>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erj_search_sheet_10_oct_2026.xlsx" TargetMode="External"/><Relationship Id="rId2" Type="http://schemas.openxmlformats.org/officeDocument/2006/relationships/hyperlink" Target="http://erj_search_sheet_10_oct_2026.xlsx" TargetMode="External"/><Relationship Id="rId3" Type="http://schemas.openxmlformats.org/officeDocument/2006/relationships/hyperlink" Target="http://erj_search_sheet_10_oct_2026.xlsx" TargetMode="External"/><Relationship Id="rId4" Type="http://schemas.openxmlformats.org/officeDocument/2006/relationships/hyperlink" Target="http://erj_search_sheet_10_oct_2026.xlsx" TargetMode="External"/><Relationship Id="rId10" Type="http://schemas.openxmlformats.org/officeDocument/2006/relationships/drawing" Target="../drawings/drawing1.xml"/><Relationship Id="rId9" Type="http://schemas.openxmlformats.org/officeDocument/2006/relationships/hyperlink" Target="http://erj_search_sheet_10_oct_2026.xlsx" TargetMode="External"/><Relationship Id="rId5" Type="http://schemas.openxmlformats.org/officeDocument/2006/relationships/hyperlink" Target="http://erj_search_sheet_10_oct_2026.xlsx" TargetMode="External"/><Relationship Id="rId6" Type="http://schemas.openxmlformats.org/officeDocument/2006/relationships/hyperlink" Target="http://erj_search_sheet_10_oct_2026.xlsx" TargetMode="External"/><Relationship Id="rId7" Type="http://schemas.openxmlformats.org/officeDocument/2006/relationships/hyperlink" Target="http://erj_search_sheet_10_oct_2026.xlsx" TargetMode="External"/><Relationship Id="rId8" Type="http://schemas.openxmlformats.org/officeDocument/2006/relationships/hyperlink" Target="http://erj_search_sheet_10_oct_2026.xlsx"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20four7va.breezy.hr/p/290b58b7f1bd-cpt-11597-cs1-patient-onboarding-agent-customer-support" TargetMode="External"/><Relationship Id="rId2" Type="http://schemas.openxmlformats.org/officeDocument/2006/relationships/hyperlink" Target="https://20four7va.breezy.hr/p/6b7d188c6da1-cpt-11573-operations-customer-support-virtual-assistant" TargetMode="External"/><Relationship Id="rId3" Type="http://schemas.openxmlformats.org/officeDocument/2006/relationships/hyperlink" Target="https://job-boards.greenhouse.io/automatticcareers/jobs/8000156" TargetMode="External"/><Relationship Id="rId4" Type="http://schemas.openxmlformats.org/officeDocument/2006/relationships/hyperlink" Target="https://job-boards.greenhouse.io/canonical/jobs/6448444" TargetMode="External"/><Relationship Id="rId5" Type="http://schemas.openxmlformats.org/officeDocument/2006/relationships/hyperlink" Target="https://social-discovery-ventures.breezy.hr/p/56c7a78e089401-senior-product-analyst-cx" TargetMode="External"/><Relationship Id="rId6"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20four7va.breezy.hr/p/51a21f59eb49-cpt-11608-executive-administrative-research-virtual-assistant" TargetMode="External"/><Relationship Id="rId2" Type="http://schemas.openxmlformats.org/officeDocument/2006/relationships/hyperlink" Target="https://job-boards.greenhouse.io/canonical/jobs/3227084" TargetMode="External"/><Relationship Id="rId3" Type="http://schemas.openxmlformats.org/officeDocument/2006/relationships/hyperlink" Target="https://careers.un.org/jobSearchDescription/285931?language=en"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1" Type="http://schemas.openxmlformats.org/officeDocument/2006/relationships/hyperlink" Target="https://job-boards.eu.greenhouse.io/moniepoint/jobs/4940889101" TargetMode="External"/><Relationship Id="rId10" Type="http://schemas.openxmlformats.org/officeDocument/2006/relationships/hyperlink" Target="https://job-boards.eu.greenhouse.io/moniepoint/jobs/4981411101" TargetMode="External"/><Relationship Id="rId13" Type="http://schemas.openxmlformats.org/officeDocument/2006/relationships/hyperlink" Target="https://job-boards.eu.greenhouse.io/moniepoint/jobs/4056914101" TargetMode="External"/><Relationship Id="rId12" Type="http://schemas.openxmlformats.org/officeDocument/2006/relationships/hyperlink" Target="https://job-boards.eu.greenhouse.io/moniepoint/jobs/4776707101" TargetMode="External"/><Relationship Id="rId1" Type="http://schemas.openxmlformats.org/officeDocument/2006/relationships/hyperlink" Target="https://20four7va.breezy.hr/p/2acfd2e68623-cpt-11320-legal-administrative-virtual-assistant" TargetMode="External"/><Relationship Id="rId2" Type="http://schemas.openxmlformats.org/officeDocument/2006/relationships/hyperlink" Target="https://social-discovery-ventures.breezy.hr/p/dd5e7bc7ba7601-executive-search-partner" TargetMode="External"/><Relationship Id="rId3" Type="http://schemas.openxmlformats.org/officeDocument/2006/relationships/hyperlink" Target="https://job-boards.greenhouse.io/alpaca/jobs/6161977004" TargetMode="External"/><Relationship Id="rId4" Type="http://schemas.openxmlformats.org/officeDocument/2006/relationships/hyperlink" Target="https://job-boards.greenhouse.io/canonical/jobs/7064135" TargetMode="External"/><Relationship Id="rId9" Type="http://schemas.openxmlformats.org/officeDocument/2006/relationships/hyperlink" Target="https://jobs.ashbyhq.com/oyster/f96014b7-68e5-45fe-9c53-1dea5775fc66" TargetMode="External"/><Relationship Id="rId14" Type="http://schemas.openxmlformats.org/officeDocument/2006/relationships/drawing" Target="../drawings/drawing4.xml"/><Relationship Id="rId5" Type="http://schemas.openxmlformats.org/officeDocument/2006/relationships/hyperlink" Target="https://job-boards.greenhouse.io/canonical/jobs/7055576" TargetMode="External"/><Relationship Id="rId6" Type="http://schemas.openxmlformats.org/officeDocument/2006/relationships/hyperlink" Target="https://job-boards.greenhouse.io/canonical/jobs/7946932" TargetMode="External"/><Relationship Id="rId7" Type="http://schemas.openxmlformats.org/officeDocument/2006/relationships/hyperlink" Target="https://job-boards.greenhouse.io/canonical/jobs/8160237" TargetMode="External"/><Relationship Id="rId8" Type="http://schemas.openxmlformats.org/officeDocument/2006/relationships/hyperlink" Target="https://job-boards.eu.greenhouse.io/moniepoint/jobs/4874410101"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jobs.lever.co/jobgether/9af45891-00c0-4b7e-a57e-f4fac55b3272" TargetMode="External"/><Relationship Id="rId2" Type="http://schemas.openxmlformats.org/officeDocument/2006/relationships/hyperlink" Target="https://jobs.lever.co/jobgether/6f75e50b-a25f-450a-8f87-0810c447de88" TargetMode="External"/><Relationship Id="rId3"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1" Type="http://schemas.openxmlformats.org/officeDocument/2006/relationships/hyperlink" Target="https://jobs.ashbyhq.com/oyster/83b10c34-8c44-4c58-89d4-5e99be716c76" TargetMode="External"/><Relationship Id="rId10" Type="http://schemas.openxmlformats.org/officeDocument/2006/relationships/hyperlink" Target="https://job-boards.greenhouse.io/canonical/jobs/7568354" TargetMode="External"/><Relationship Id="rId13" Type="http://schemas.openxmlformats.org/officeDocument/2006/relationships/hyperlink" Target="https://jobs.workable.com/view/pFCakM1XmoyahfhxeotTPj/remote-finance-ops-%2F-bookkeeper-in-nigeria-at-huzzle" TargetMode="External"/><Relationship Id="rId12" Type="http://schemas.openxmlformats.org/officeDocument/2006/relationships/hyperlink" Target="https://jobs.workable.com/view/7MHeL1obbmph3NimbqvBfG/remote-bookkeeper---xero-specialist-in-nigeria-at-huzzle" TargetMode="External"/><Relationship Id="rId1" Type="http://schemas.openxmlformats.org/officeDocument/2006/relationships/hyperlink" Target="https://20four7va.breezy.hr/p/2821fa9f700e-cpt-11564-accounting-bookkeeping-operations-virtual-assistant" TargetMode="External"/><Relationship Id="rId2" Type="http://schemas.openxmlformats.org/officeDocument/2006/relationships/hyperlink" Target="https://20four7va.breezy.hr/p/c5297e5a0d24-cpt-11624-finance-tax-support-virtual-assistant" TargetMode="External"/><Relationship Id="rId3" Type="http://schemas.openxmlformats.org/officeDocument/2006/relationships/hyperlink" Target="https://atlasbrands.breezy.hr/p/7bde058c27b0-accounting-manager" TargetMode="External"/><Relationship Id="rId4" Type="http://schemas.openxmlformats.org/officeDocument/2006/relationships/hyperlink" Target="https://social-discovery-ventures.breezy.hr/p/0b3ed5780ce801-accounting-manager" TargetMode="External"/><Relationship Id="rId9" Type="http://schemas.openxmlformats.org/officeDocument/2006/relationships/hyperlink" Target="https://job-boards.greenhouse.io/canonical/jobs/5839217" TargetMode="External"/><Relationship Id="rId15" Type="http://schemas.openxmlformats.org/officeDocument/2006/relationships/hyperlink" Target="https://job-boards.eu.greenhouse.io/moniepoint/jobs/4889337101" TargetMode="External"/><Relationship Id="rId14" Type="http://schemas.openxmlformats.org/officeDocument/2006/relationships/hyperlink" Target="https://job-boards.eu.greenhouse.io/moniepoint/jobs/4355709101" TargetMode="External"/><Relationship Id="rId17" Type="http://schemas.openxmlformats.org/officeDocument/2006/relationships/hyperlink" Target="https://job-boards.eu.greenhouse.io/moniepoint/jobs/4821858101" TargetMode="External"/><Relationship Id="rId16" Type="http://schemas.openxmlformats.org/officeDocument/2006/relationships/hyperlink" Target="https://job-boards.eu.greenhouse.io/moniepoint/jobs/4889340101" TargetMode="External"/><Relationship Id="rId5" Type="http://schemas.openxmlformats.org/officeDocument/2006/relationships/hyperlink" Target="https://job-boards.greenhouse.io/canonical/jobs/5569916" TargetMode="External"/><Relationship Id="rId6" Type="http://schemas.openxmlformats.org/officeDocument/2006/relationships/hyperlink" Target="https://job-boards.greenhouse.io/canonical/jobs/7971310" TargetMode="External"/><Relationship Id="rId18" Type="http://schemas.openxmlformats.org/officeDocument/2006/relationships/drawing" Target="../drawings/drawing6.xml"/><Relationship Id="rId7" Type="http://schemas.openxmlformats.org/officeDocument/2006/relationships/hyperlink" Target="https://job-boards.greenhouse.io/canonical/jobs/5243483" TargetMode="External"/><Relationship Id="rId8" Type="http://schemas.openxmlformats.org/officeDocument/2006/relationships/hyperlink" Target="https://job-boards.greenhouse.io/canonical/jobs/8081579"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20four7va.breezy.hr/p/8a70174210ca-cpt-11531-sales-development-sales-operations-virtual-assistant" TargetMode="External"/><Relationship Id="rId2" Type="http://schemas.openxmlformats.org/officeDocument/2006/relationships/hyperlink" Target="https://job-boards.greenhouse.io/canonical/jobs/6713184" TargetMode="External"/><Relationship Id="rId3" Type="http://schemas.openxmlformats.org/officeDocument/2006/relationships/hyperlink" Target="https://job-boards.greenhouse.io/alxafrica/jobs/8267874" TargetMode="External"/><Relationship Id="rId4" Type="http://schemas.openxmlformats.org/officeDocument/2006/relationships/hyperlink" Target="https://job-boards.greenhouse.io/automatticcareers/jobs/7475345" TargetMode="External"/><Relationship Id="rId5" Type="http://schemas.openxmlformats.org/officeDocument/2006/relationships/hyperlink" Target="https://job-boards.greenhouse.io/canonical/jobs/7963009" TargetMode="External"/><Relationship Id="rId6" Type="http://schemas.openxmlformats.org/officeDocument/2006/relationships/hyperlink" Target="https://apply.workable.com/openfn/j/125368C404/" TargetMode="External"/><Relationship Id="rId7" Type="http://schemas.openxmlformats.org/officeDocument/2006/relationships/hyperlink" Target="https://jobs.ashbyhq.com/scale%20army%20careers/dd386166-ace9-48c0-a806-3ff91a7c898f" TargetMode="External"/><Relationship Id="rId8"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1" Type="http://schemas.openxmlformats.org/officeDocument/2006/relationships/drawing" Target="../drawings/drawing8.xml"/><Relationship Id="rId10" Type="http://schemas.openxmlformats.org/officeDocument/2006/relationships/hyperlink" Target="https://job-boards.eu.greenhouse.io/moniepoint/jobs/4612209101" TargetMode="External"/><Relationship Id="rId1" Type="http://schemas.openxmlformats.org/officeDocument/2006/relationships/hyperlink" Target="https://20four7va.breezy.hr/p/9984b6611045-cpt-11595-content-marketing-travel-operations-virtual-assistant" TargetMode="External"/><Relationship Id="rId2" Type="http://schemas.openxmlformats.org/officeDocument/2006/relationships/hyperlink" Target="https://job-boards.greenhouse.io/canonical/jobs/7771226" TargetMode="External"/><Relationship Id="rId3" Type="http://schemas.openxmlformats.org/officeDocument/2006/relationships/hyperlink" Target="https://job-boards.eu.greenhouse.io/moniepoint/jobs/4997735101" TargetMode="External"/><Relationship Id="rId4" Type="http://schemas.openxmlformats.org/officeDocument/2006/relationships/hyperlink" Target="https://jobs.ashbyhq.com/scale%20army%20careers/58367392-f748-4554-8663-4f703c62bc0b" TargetMode="External"/><Relationship Id="rId9" Type="http://schemas.openxmlformats.org/officeDocument/2006/relationships/hyperlink" Target="https://job-boards.eu.greenhouse.io/moniepoint/jobs/4973542101" TargetMode="External"/><Relationship Id="rId5" Type="http://schemas.openxmlformats.org/officeDocument/2006/relationships/hyperlink" Target="https://jobs.ashbyhq.com/scale%20army%20careers/ca544b64-49a0-4c00-b2c0-8a4f70e144a7" TargetMode="External"/><Relationship Id="rId6" Type="http://schemas.openxmlformats.org/officeDocument/2006/relationships/hyperlink" Target="https://jobs.ashbyhq.com/talentpop/5b88df0a-c54a-4290-914a-69fef0fedee5" TargetMode="External"/><Relationship Id="rId7" Type="http://schemas.openxmlformats.org/officeDocument/2006/relationships/hyperlink" Target="https://jobs.lever.co/jobgether/a2aca029-2005-45d3-8e93-0ef0b856091c" TargetMode="External"/><Relationship Id="rId8" Type="http://schemas.openxmlformats.org/officeDocument/2006/relationships/hyperlink" Target="https://job-boards.eu.greenhouse.io/moniepoint/jobs/4956399101" TargetMode="External"/></Relationships>
</file>

<file path=xl/worksheets/_rels/sheet9.xml.rels><?xml version="1.0" encoding="UTF-8" standalone="yes"?><Relationships xmlns="http://schemas.openxmlformats.org/package/2006/relationships"><Relationship Id="rId11" Type="http://schemas.openxmlformats.org/officeDocument/2006/relationships/hyperlink" Target="https://apply.workable.com/openfn/j/EEE70403B1/" TargetMode="External"/><Relationship Id="rId10" Type="http://schemas.openxmlformats.org/officeDocument/2006/relationships/hyperlink" Target="https://jobs.ashbyhq.com/m-kopa/121d269d-f893-4e4c-9a88-eae3f6c5c917" TargetMode="External"/><Relationship Id="rId13" Type="http://schemas.openxmlformats.org/officeDocument/2006/relationships/hyperlink" Target="https://jobs.workable.com/view/hUca3NZfyuPqim7nNBro49/remote-senior-software-engineer---ai-code-evaluation-in-nigeria-at-gramian-consulting-group" TargetMode="External"/><Relationship Id="rId12" Type="http://schemas.openxmlformats.org/officeDocument/2006/relationships/hyperlink" Target="https://jobs.ashbyhq.com/scale%20army%20careers/523d1f1e-2cb2-4a73-80e6-d5a08ded970f" TargetMode="External"/><Relationship Id="rId1" Type="http://schemas.openxmlformats.org/officeDocument/2006/relationships/hyperlink" Target="https://job-boards.greenhouse.io/alpaca/jobs/6137928004" TargetMode="External"/><Relationship Id="rId2" Type="http://schemas.openxmlformats.org/officeDocument/2006/relationships/hyperlink" Target="https://job-boards.greenhouse.io/automatticcareers/jobs/5862239" TargetMode="External"/><Relationship Id="rId3" Type="http://schemas.openxmlformats.org/officeDocument/2006/relationships/hyperlink" Target="https://job-boards.greenhouse.io/automatticcareers/jobs/7482858" TargetMode="External"/><Relationship Id="rId4" Type="http://schemas.openxmlformats.org/officeDocument/2006/relationships/hyperlink" Target="https://job-boards.greenhouse.io/automatticcareers/jobs/5980233" TargetMode="External"/><Relationship Id="rId9" Type="http://schemas.openxmlformats.org/officeDocument/2006/relationships/hyperlink" Target="https://apply.workable.com/gigmos/j/509F3DB938/" TargetMode="External"/><Relationship Id="rId15" Type="http://schemas.openxmlformats.org/officeDocument/2006/relationships/hyperlink" Target="https://jobs.lever.co/jobgether/5f734e58-9a74-460e-b3d6-922b6c7883f0" TargetMode="External"/><Relationship Id="rId14" Type="http://schemas.openxmlformats.org/officeDocument/2006/relationships/hyperlink" Target="https://jobs.workable.com/view/bMPpPRAnhrsGToCuzHu6MG/remote-devops-engineer-in-lagos-at-helium-health" TargetMode="External"/><Relationship Id="rId17" Type="http://schemas.openxmlformats.org/officeDocument/2006/relationships/hyperlink" Target="https://jobs.workable.com/view/mwAprb7pGqiVar3ZkBBRDv/remote-product-manager---sme-lending-lead-in-lagos-at-renmoney" TargetMode="External"/><Relationship Id="rId16" Type="http://schemas.openxmlformats.org/officeDocument/2006/relationships/hyperlink" Target="https://jobs.workable.com/view/tDh75KLJbhjb1eEJzbS4aW/remote-hubspot-crm-implementation-specialist-in-nigeria-at-outsourcing-advantage" TargetMode="External"/><Relationship Id="rId5" Type="http://schemas.openxmlformats.org/officeDocument/2006/relationships/hyperlink" Target="https://job-boards.greenhouse.io/canonical/jobs/6635593" TargetMode="External"/><Relationship Id="rId6" Type="http://schemas.openxmlformats.org/officeDocument/2006/relationships/hyperlink" Target="https://minerva-project.breezy.hr/p/dc7322771aa1-senior-product-manager" TargetMode="External"/><Relationship Id="rId18" Type="http://schemas.openxmlformats.org/officeDocument/2006/relationships/drawing" Target="../drawings/drawing9.xml"/><Relationship Id="rId7" Type="http://schemas.openxmlformats.org/officeDocument/2006/relationships/hyperlink" Target="https://job-boards.greenhouse.io/remotasks/jobs/4369099005" TargetMode="External"/><Relationship Id="rId8" Type="http://schemas.openxmlformats.org/officeDocument/2006/relationships/hyperlink" Target="https://jobs.ashbyhq.com/brainbaselabs/ad4e24e1-7f85-419d-b15a-d589540ea8fa" TargetMode="External"/></Relationships>
</file>

<file path=xl/worksheets/_rels/sheet10.xml.rels><?xml version="1.0" encoding="UTF-8" standalone="yes"?><Relationships xmlns="http://schemas.openxmlformats.org/package/2006/relationships"><Relationship Id="rId11" Type="http://schemas.openxmlformats.org/officeDocument/2006/relationships/hyperlink" Target="https://refer.micro1.ai/referral/jobs?referralCode=d3605f74-92f0-4f1c-b8e2-4ab757bffc26&amp;utm_source=referral&amp;utm_medium=share&amp;utm_campaign=job_referral" TargetMode="External"/><Relationship Id="rId10" Type="http://schemas.openxmlformats.org/officeDocument/2006/relationships/hyperlink" Target="https://refer.micro1.ai/referral/jobs?referralCode=d3605f74-92f0-4f1c-b8e2-4ab757bffc26&amp;utm_source=referral&amp;utm_medium=share&amp;utm_campaign=job_referral" TargetMode="External"/><Relationship Id="rId12" Type="http://schemas.openxmlformats.org/officeDocument/2006/relationships/drawing" Target="../drawings/drawing10.xml"/><Relationship Id="rId1" Type="http://schemas.openxmlformats.org/officeDocument/2006/relationships/hyperlink" Target="https://refer.micro1.ai/referral/jobs?referralCode=d3605f74-92f0-4f1c-b8e2-4ab757bffc26&amp;utm_source=referral&amp;utm_medium=share&amp;utm_campaign=job_referral" TargetMode="External"/><Relationship Id="rId2" Type="http://schemas.openxmlformats.org/officeDocument/2006/relationships/hyperlink" Target="https://refer.micro1.ai/referral/jobs?referralCode=d3605f74-92f0-4f1c-b8e2-4ab757bffc26&amp;utm_source=referral&amp;utm_medium=share&amp;utm_campaign=job_referral" TargetMode="External"/><Relationship Id="rId3" Type="http://schemas.openxmlformats.org/officeDocument/2006/relationships/hyperlink" Target="https://refer.micro1.ai/referral/jobs?referralCode=d3605f74-92f0-4f1c-b8e2-4ab757bffc26&amp;utm_source=referral&amp;utm_medium=share&amp;utm_campaign=job_referral" TargetMode="External"/><Relationship Id="rId4" Type="http://schemas.openxmlformats.org/officeDocument/2006/relationships/hyperlink" Target="https://refer.micro1.ai/referral/jobs?referralCode=d3605f74-92f0-4f1c-b8e2-4ab757bffc26&amp;utm_source=referral&amp;utm_medium=share&amp;utm_campaign=job_referral" TargetMode="External"/><Relationship Id="rId9" Type="http://schemas.openxmlformats.org/officeDocument/2006/relationships/hyperlink" Target="https://refer.micro1.ai/referral/jobs?referralCode=d3605f74-92f0-4f1c-b8e2-4ab757bffc26&amp;utm_source=referral&amp;utm_medium=share&amp;utm_campaign=job_referral" TargetMode="External"/><Relationship Id="rId5" Type="http://schemas.openxmlformats.org/officeDocument/2006/relationships/hyperlink" Target="https://refer.micro1.ai/referral/jobs?referralCode=d3605f74-92f0-4f1c-b8e2-4ab757bffc26&amp;utm_source=referral&amp;utm_medium=share&amp;utm_campaign=job_referral" TargetMode="External"/><Relationship Id="rId6" Type="http://schemas.openxmlformats.org/officeDocument/2006/relationships/hyperlink" Target="https://refer.micro1.ai/referral/jobs?referralCode=d3605f74-92f0-4f1c-b8e2-4ab757bffc26&amp;utm_source=referral&amp;utm_medium=share&amp;utm_campaign=job_referral" TargetMode="External"/><Relationship Id="rId7" Type="http://schemas.openxmlformats.org/officeDocument/2006/relationships/hyperlink" Target="https://refer.micro1.ai/referral/jobs?referralCode=d3605f74-92f0-4f1c-b8e2-4ab757bffc26&amp;utm_source=referral&amp;utm_medium=share&amp;utm_campaign=job_referral" TargetMode="External"/><Relationship Id="rId8" Type="http://schemas.openxmlformats.org/officeDocument/2006/relationships/hyperlink" Target="https://refer.micro1.ai/referral/jobs?referralCode=d3605f74-92f0-4f1c-b8e2-4ab757bffc26&amp;utm_source=referral&amp;utm_medium=share&amp;utm_campaign=job_referral"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8.0"/>
    <col customWidth="1" min="2" max="3" width="18.0"/>
    <col customWidth="1" min="4" max="4" width="10.0"/>
    <col customWidth="1" min="5" max="26" width="8.71"/>
  </cols>
  <sheetData>
    <row r="1">
      <c r="A1" s="2" t="s">
        <v>0</v>
      </c>
    </row>
    <row r="2">
      <c r="A2" s="4" t="s">
        <v>3</v>
      </c>
    </row>
    <row r="4" ht="27.75" customHeight="1">
      <c r="A4" s="5" t="s">
        <v>5</v>
      </c>
      <c r="B4" s="5" t="s">
        <v>8</v>
      </c>
      <c r="C4" s="5" t="s">
        <v>10</v>
      </c>
      <c r="D4" s="5" t="s">
        <v>13</v>
      </c>
    </row>
    <row r="5">
      <c r="A5" s="11" t="s">
        <v>16</v>
      </c>
      <c r="B5" s="12">
        <f>COUNTIF('Customer Support'!$E$5:$E$10,"Open*")</f>
        <v>5</v>
      </c>
      <c r="C5" s="12">
        <f>COUNTIF('Customer Support'!$E$5:$E$10,"Check*")</f>
        <v>0</v>
      </c>
      <c r="D5" s="12">
        <f t="shared" ref="D5:D13" si="1">B5+C5</f>
        <v>5</v>
      </c>
    </row>
    <row r="6">
      <c r="A6" s="11" t="s">
        <v>54</v>
      </c>
      <c r="B6" s="12">
        <f>COUNTIF('VA &amp; Admin'!$E$5:$E$9,"Open*")</f>
        <v>3</v>
      </c>
      <c r="C6" s="12">
        <f>COUNTIF('VA &amp; Admin'!$E$5:$E$9,"Check*")</f>
        <v>0</v>
      </c>
      <c r="D6" s="12">
        <f t="shared" si="1"/>
        <v>3</v>
      </c>
    </row>
    <row r="7">
      <c r="A7" s="11" t="s">
        <v>61</v>
      </c>
      <c r="B7" s="12">
        <f>COUNTIF('HR &amp; Legal'!$E$5:$E$20,"Open*")</f>
        <v>13</v>
      </c>
      <c r="C7" s="12">
        <f>COUNTIF('HR &amp; Legal'!$E$5:$E$20,"Check*")</f>
        <v>0</v>
      </c>
      <c r="D7" s="12">
        <f t="shared" si="1"/>
        <v>13</v>
      </c>
    </row>
    <row r="8">
      <c r="A8" s="11" t="s">
        <v>66</v>
      </c>
      <c r="B8" s="12">
        <f>COUNTIF('Languages &amp; Teaching'!$E$5:$E$7,"Open*")</f>
        <v>2</v>
      </c>
      <c r="C8" s="12">
        <f>COUNTIF('Languages &amp; Teaching'!$E$5:$E$7,"Check*")</f>
        <v>0</v>
      </c>
      <c r="D8" s="12">
        <f t="shared" si="1"/>
        <v>2</v>
      </c>
    </row>
    <row r="9">
      <c r="A9" s="11" t="s">
        <v>69</v>
      </c>
      <c r="B9" s="12">
        <f>COUNTIF('Finance &amp; Accounting'!$E$5:$E$24,"Open*")</f>
        <v>17</v>
      </c>
      <c r="C9" s="12">
        <f>COUNTIF('Finance &amp; Accounting'!$E$5:$E$24,"Check*")</f>
        <v>0</v>
      </c>
      <c r="D9" s="12">
        <f t="shared" si="1"/>
        <v>17</v>
      </c>
    </row>
    <row r="10">
      <c r="A10" s="11" t="s">
        <v>75</v>
      </c>
      <c r="B10" s="12">
        <f>COUNTIF('Sales &amp; Marketing'!$E$5:$E$13,"Open*")</f>
        <v>7</v>
      </c>
      <c r="C10" s="12">
        <f>COUNTIF('Sales &amp; Marketing'!$E$5:$E$13,"Check*")</f>
        <v>0</v>
      </c>
      <c r="D10" s="12">
        <f t="shared" si="1"/>
        <v>7</v>
      </c>
    </row>
    <row r="11">
      <c r="A11" s="11" t="s">
        <v>83</v>
      </c>
      <c r="B11" s="12">
        <f>COUNTIF('Creative &amp; Content'!$E$5:$E$17,"Open*")</f>
        <v>10</v>
      </c>
      <c r="C11" s="12">
        <f>COUNTIF('Creative &amp; Content'!$E$5:$E$17,"Check*")</f>
        <v>0</v>
      </c>
      <c r="D11" s="12">
        <f t="shared" si="1"/>
        <v>10</v>
      </c>
    </row>
    <row r="12">
      <c r="A12" s="11" t="s">
        <v>87</v>
      </c>
      <c r="B12" s="12">
        <f>COUNTIF('Tech &amp; Operations'!$E$5:$E$24,"Open*")</f>
        <v>17</v>
      </c>
      <c r="C12" s="12">
        <f>COUNTIF('Tech &amp; Operations'!$E$5:$E$24,"Check*")</f>
        <v>0</v>
      </c>
      <c r="D12" s="12">
        <f t="shared" si="1"/>
        <v>17</v>
      </c>
    </row>
    <row r="13">
      <c r="A13" s="11" t="s">
        <v>89</v>
      </c>
      <c r="B13" s="12">
        <f>COUNTA('micro1 Referral'!$C$5:$C$19)</f>
        <v>11</v>
      </c>
      <c r="C13" s="12">
        <v>0.0</v>
      </c>
      <c r="D13" s="12">
        <f t="shared" si="1"/>
        <v>11</v>
      </c>
    </row>
    <row r="14">
      <c r="A14" s="13" t="s">
        <v>13</v>
      </c>
      <c r="B14" s="14">
        <f t="shared" ref="B14:D14" si="2">SUM(B5:B13)</f>
        <v>85</v>
      </c>
      <c r="C14" s="14">
        <f t="shared" si="2"/>
        <v>0</v>
      </c>
      <c r="D14" s="14">
        <f t="shared" si="2"/>
        <v>85</v>
      </c>
    </row>
    <row r="16">
      <c r="A16" s="15" t="s">
        <v>95</v>
      </c>
    </row>
    <row r="17" ht="60.0" customHeight="1">
      <c r="A17" s="16" t="s">
        <v>96</v>
      </c>
    </row>
    <row r="18" ht="60.0" customHeight="1">
      <c r="A18" s="16" t="s">
        <v>97</v>
      </c>
    </row>
    <row r="19" ht="60.0" customHeight="1">
      <c r="A19" s="16" t="s">
        <v>98</v>
      </c>
    </row>
    <row r="20" ht="60.0" customHeight="1">
      <c r="A20" s="16" t="s">
        <v>99</v>
      </c>
    </row>
    <row r="21" ht="60.0" customHeight="1">
      <c r="A21" s="16" t="s">
        <v>100</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7:D17"/>
    <mergeCell ref="A18:D18"/>
    <mergeCell ref="A19:D19"/>
    <mergeCell ref="A20:D20"/>
    <mergeCell ref="A21:D21"/>
  </mergeCells>
  <hyperlinks>
    <hyperlink r:id="rId1" location="'Customer%20Support'!A1" ref="A5"/>
    <hyperlink r:id="rId2" location="'VA%20&amp;%20Admin'!A1" ref="A6"/>
    <hyperlink r:id="rId3" location="'HR%20&amp;%20Legal'!A1" ref="A7"/>
    <hyperlink r:id="rId4" location="'Languages%20&amp;%20Teaching'!A1" ref="A8"/>
    <hyperlink r:id="rId5" location="'Finance%20&amp;%20Accounting'!A1" ref="A9"/>
    <hyperlink r:id="rId6" location="'Sales%20&amp;%20Marketing'!A1" ref="A10"/>
    <hyperlink r:id="rId7" location="'Creative%20&amp;%20Content'!A1" ref="A11"/>
    <hyperlink r:id="rId8" location="'Tech%20&amp;%20Operations'!A1" ref="A12"/>
    <hyperlink r:id="rId9" location="'micro1%20Referral'!A1" ref="A13"/>
  </hyperlinks>
  <printOptions/>
  <pageMargins bottom="1.0" footer="0.0" header="0.0" left="0.75" right="0.75" top="1.0"/>
  <pageSetup paperSize="9" orientation="portrait"/>
  <drawing r:id="rId1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4.43" defaultRowHeight="15.0"/>
  <cols>
    <col customWidth="1" min="1" max="1" width="5.0"/>
    <col customWidth="1" min="2" max="2" width="28.0"/>
    <col customWidth="1" min="3" max="3" width="40.0"/>
    <col customWidth="1" min="4" max="5" width="22.0"/>
    <col customWidth="1" min="6" max="6" width="14.0"/>
    <col customWidth="1" min="7" max="7" width="20.0"/>
    <col customWidth="1" min="8" max="8" width="44.0"/>
    <col customWidth="1" min="9" max="9" width="11.0"/>
    <col customWidth="1" min="10" max="10" width="10.0"/>
    <col customWidth="1" min="11" max="11" width="11.0"/>
    <col customWidth="1" min="12" max="12" width="38.0"/>
    <col customWidth="1" min="13" max="26" width="8.71"/>
  </cols>
  <sheetData>
    <row r="1">
      <c r="A1" s="1" t="s">
        <v>1</v>
      </c>
    </row>
    <row r="2">
      <c r="A2" s="3" t="s">
        <v>2</v>
      </c>
    </row>
    <row r="4" ht="25.5" customHeight="1">
      <c r="A4" s="5" t="s">
        <v>4</v>
      </c>
      <c r="B4" s="5" t="s">
        <v>6</v>
      </c>
      <c r="C4" s="5" t="s">
        <v>7</v>
      </c>
      <c r="D4" s="5" t="s">
        <v>9</v>
      </c>
      <c r="E4" s="5" t="s">
        <v>11</v>
      </c>
      <c r="F4" s="5" t="s">
        <v>12</v>
      </c>
      <c r="G4" s="5" t="s">
        <v>14</v>
      </c>
      <c r="H4" s="5" t="s">
        <v>15</v>
      </c>
      <c r="I4" s="5" t="s">
        <v>17</v>
      </c>
      <c r="J4" s="5" t="s">
        <v>18</v>
      </c>
      <c r="K4" s="5" t="s">
        <v>19</v>
      </c>
      <c r="L4" s="5" t="s">
        <v>20</v>
      </c>
    </row>
    <row r="5">
      <c r="A5" s="6" t="s">
        <v>21</v>
      </c>
      <c r="B5" s="7"/>
      <c r="C5" s="7"/>
      <c r="D5" s="7"/>
      <c r="E5" s="7"/>
      <c r="F5" s="7"/>
      <c r="G5" s="7"/>
      <c r="H5" s="7"/>
      <c r="I5" s="7"/>
      <c r="J5" s="7"/>
      <c r="K5" s="7"/>
      <c r="L5" s="7"/>
    </row>
    <row r="6">
      <c r="A6" s="8">
        <v>1.0</v>
      </c>
      <c r="B6" s="9" t="s">
        <v>22</v>
      </c>
      <c r="C6" s="9" t="s">
        <v>23</v>
      </c>
      <c r="D6" s="8" t="s">
        <v>24</v>
      </c>
      <c r="E6" s="8" t="s">
        <v>8</v>
      </c>
      <c r="F6" s="8" t="s">
        <v>25</v>
      </c>
      <c r="G6" s="9" t="s">
        <v>26</v>
      </c>
      <c r="H6" s="9" t="s">
        <v>27</v>
      </c>
      <c r="I6" s="8" t="s">
        <v>28</v>
      </c>
      <c r="J6" s="8" t="s">
        <v>29</v>
      </c>
      <c r="K6" s="10" t="s">
        <v>30</v>
      </c>
      <c r="L6" s="9" t="s">
        <v>31</v>
      </c>
    </row>
    <row r="7">
      <c r="A7" s="8">
        <v>2.0</v>
      </c>
      <c r="B7" s="9" t="s">
        <v>22</v>
      </c>
      <c r="C7" s="9" t="s">
        <v>32</v>
      </c>
      <c r="D7" s="8" t="s">
        <v>24</v>
      </c>
      <c r="E7" s="8" t="s">
        <v>8</v>
      </c>
      <c r="F7" s="8" t="s">
        <v>25</v>
      </c>
      <c r="G7" s="9" t="s">
        <v>26</v>
      </c>
      <c r="H7" s="9" t="s">
        <v>33</v>
      </c>
      <c r="I7" s="8" t="s">
        <v>28</v>
      </c>
      <c r="J7" s="8" t="s">
        <v>34</v>
      </c>
      <c r="K7" s="10" t="s">
        <v>30</v>
      </c>
      <c r="L7" s="9" t="s">
        <v>35</v>
      </c>
    </row>
    <row r="8">
      <c r="A8" s="8">
        <v>3.0</v>
      </c>
      <c r="B8" s="9" t="s">
        <v>36</v>
      </c>
      <c r="C8" s="9" t="s">
        <v>37</v>
      </c>
      <c r="D8" s="8" t="s">
        <v>38</v>
      </c>
      <c r="E8" s="8" t="s">
        <v>8</v>
      </c>
      <c r="F8" s="8" t="s">
        <v>39</v>
      </c>
      <c r="G8" s="9" t="s">
        <v>40</v>
      </c>
      <c r="H8" s="9" t="s">
        <v>41</v>
      </c>
      <c r="I8" s="8" t="s">
        <v>42</v>
      </c>
      <c r="J8" s="8" t="s">
        <v>43</v>
      </c>
      <c r="K8" s="10" t="s">
        <v>30</v>
      </c>
      <c r="L8" s="9" t="s">
        <v>44</v>
      </c>
    </row>
    <row r="9">
      <c r="A9" s="8">
        <v>4.0</v>
      </c>
      <c r="B9" s="9" t="s">
        <v>45</v>
      </c>
      <c r="C9" s="9" t="s">
        <v>46</v>
      </c>
      <c r="D9" s="8" t="s">
        <v>47</v>
      </c>
      <c r="E9" s="8" t="s">
        <v>8</v>
      </c>
      <c r="F9" s="8" t="s">
        <v>49</v>
      </c>
      <c r="G9" s="9" t="s">
        <v>50</v>
      </c>
      <c r="H9" s="9" t="s">
        <v>51</v>
      </c>
      <c r="I9" s="8" t="s">
        <v>42</v>
      </c>
      <c r="J9" s="8" t="s">
        <v>52</v>
      </c>
      <c r="K9" s="10" t="s">
        <v>30</v>
      </c>
      <c r="L9" s="9" t="s">
        <v>53</v>
      </c>
    </row>
    <row r="10">
      <c r="A10" s="8">
        <v>5.0</v>
      </c>
      <c r="B10" s="9" t="s">
        <v>55</v>
      </c>
      <c r="C10" s="9" t="s">
        <v>56</v>
      </c>
      <c r="D10" s="8" t="s">
        <v>57</v>
      </c>
      <c r="E10" s="8" t="s">
        <v>8</v>
      </c>
      <c r="F10" s="8" t="s">
        <v>58</v>
      </c>
      <c r="G10" s="9" t="s">
        <v>50</v>
      </c>
      <c r="H10" s="9" t="s">
        <v>59</v>
      </c>
      <c r="I10" s="8" t="s">
        <v>28</v>
      </c>
      <c r="J10" s="8" t="s">
        <v>60</v>
      </c>
      <c r="K10" s="10" t="s">
        <v>30</v>
      </c>
      <c r="L10" s="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L$10"/>
  <conditionalFormatting sqref="E5:E10">
    <cfRule type="expression" dxfId="0" priority="1">
      <formula>LEFT($E5,4)="Open"</formula>
    </cfRule>
  </conditionalFormatting>
  <conditionalFormatting sqref="E5:E10">
    <cfRule type="expression" dxfId="1" priority="2">
      <formula>LEFT($E5,5)="Check"</formula>
    </cfRule>
  </conditionalFormatting>
  <hyperlinks>
    <hyperlink r:id="rId1" ref="K6"/>
    <hyperlink r:id="rId2" ref="K7"/>
    <hyperlink r:id="rId3" ref="K8"/>
    <hyperlink r:id="rId4" ref="K9"/>
    <hyperlink r:id="rId5" ref="K10"/>
  </hyperlinks>
  <printOptions/>
  <pageMargins bottom="1.0" footer="0.0" header="0.0" left="0.75" right="0.75" top="1.0"/>
  <pageSetup fitToHeight="0" orientation="landscape"/>
  <drawing r:id="rId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4.43" defaultRowHeight="15.0"/>
  <cols>
    <col customWidth="1" min="1" max="1" width="5.0"/>
    <col customWidth="1" min="2" max="2" width="28.0"/>
    <col customWidth="1" min="3" max="3" width="40.0"/>
    <col customWidth="1" min="4" max="5" width="22.0"/>
    <col customWidth="1" min="6" max="6" width="14.0"/>
    <col customWidth="1" min="7" max="7" width="20.0"/>
    <col customWidth="1" min="8" max="8" width="44.0"/>
    <col customWidth="1" min="9" max="9" width="11.0"/>
    <col customWidth="1" min="10" max="10" width="10.0"/>
    <col customWidth="1" min="11" max="11" width="11.0"/>
    <col customWidth="1" min="12" max="12" width="38.0"/>
    <col customWidth="1" min="13" max="26" width="8.71"/>
  </cols>
  <sheetData>
    <row r="1">
      <c r="A1" s="1" t="s">
        <v>48</v>
      </c>
    </row>
    <row r="2">
      <c r="A2" s="3" t="s">
        <v>2</v>
      </c>
    </row>
    <row r="4" ht="25.5" customHeight="1">
      <c r="A4" s="5" t="s">
        <v>4</v>
      </c>
      <c r="B4" s="5" t="s">
        <v>6</v>
      </c>
      <c r="C4" s="5" t="s">
        <v>7</v>
      </c>
      <c r="D4" s="5" t="s">
        <v>9</v>
      </c>
      <c r="E4" s="5" t="s">
        <v>11</v>
      </c>
      <c r="F4" s="5" t="s">
        <v>12</v>
      </c>
      <c r="G4" s="5" t="s">
        <v>14</v>
      </c>
      <c r="H4" s="5" t="s">
        <v>15</v>
      </c>
      <c r="I4" s="5" t="s">
        <v>17</v>
      </c>
      <c r="J4" s="5" t="s">
        <v>18</v>
      </c>
      <c r="K4" s="5" t="s">
        <v>19</v>
      </c>
      <c r="L4" s="5" t="s">
        <v>20</v>
      </c>
    </row>
    <row r="5">
      <c r="A5" s="6" t="s">
        <v>21</v>
      </c>
      <c r="B5" s="7"/>
      <c r="C5" s="7"/>
      <c r="D5" s="7"/>
      <c r="E5" s="7"/>
      <c r="F5" s="7"/>
      <c r="G5" s="7"/>
      <c r="H5" s="7"/>
      <c r="I5" s="7"/>
      <c r="J5" s="7"/>
      <c r="K5" s="7"/>
      <c r="L5" s="7"/>
    </row>
    <row r="6">
      <c r="A6" s="8">
        <v>1.0</v>
      </c>
      <c r="B6" s="9" t="s">
        <v>22</v>
      </c>
      <c r="C6" s="9" t="s">
        <v>62</v>
      </c>
      <c r="D6" s="8" t="s">
        <v>24</v>
      </c>
      <c r="E6" s="8" t="s">
        <v>8</v>
      </c>
      <c r="F6" s="8" t="s">
        <v>63</v>
      </c>
      <c r="G6" s="9" t="s">
        <v>26</v>
      </c>
      <c r="H6" s="9" t="s">
        <v>64</v>
      </c>
      <c r="I6" s="8" t="s">
        <v>28</v>
      </c>
      <c r="J6" s="8" t="s">
        <v>65</v>
      </c>
      <c r="K6" s="10" t="s">
        <v>30</v>
      </c>
      <c r="L6" s="9" t="s">
        <v>35</v>
      </c>
    </row>
    <row r="7">
      <c r="A7" s="6" t="s">
        <v>67</v>
      </c>
      <c r="B7" s="7"/>
      <c r="C7" s="7"/>
      <c r="D7" s="7"/>
      <c r="E7" s="7"/>
      <c r="F7" s="7"/>
      <c r="G7" s="7"/>
      <c r="H7" s="7"/>
      <c r="I7" s="7"/>
      <c r="J7" s="7"/>
      <c r="K7" s="7"/>
      <c r="L7" s="7"/>
    </row>
    <row r="8">
      <c r="A8" s="8">
        <v>2.0</v>
      </c>
      <c r="B8" s="9" t="s">
        <v>70</v>
      </c>
      <c r="C8" s="9" t="s">
        <v>71</v>
      </c>
      <c r="D8" s="8" t="s">
        <v>47</v>
      </c>
      <c r="E8" s="8" t="s">
        <v>8</v>
      </c>
      <c r="F8" s="8" t="s">
        <v>72</v>
      </c>
      <c r="G8" s="9" t="s">
        <v>50</v>
      </c>
      <c r="H8" s="9" t="s">
        <v>73</v>
      </c>
      <c r="I8" s="8" t="s">
        <v>42</v>
      </c>
      <c r="J8" s="8" t="s">
        <v>74</v>
      </c>
      <c r="K8" s="10" t="s">
        <v>30</v>
      </c>
      <c r="L8" s="9" t="s">
        <v>76</v>
      </c>
    </row>
    <row r="9">
      <c r="A9" s="8">
        <v>3.0</v>
      </c>
      <c r="B9" s="9" t="s">
        <v>77</v>
      </c>
      <c r="C9" s="9" t="s">
        <v>78</v>
      </c>
      <c r="D9" s="8" t="s">
        <v>79</v>
      </c>
      <c r="E9" s="8" t="s">
        <v>8</v>
      </c>
      <c r="F9" s="8" t="s">
        <v>58</v>
      </c>
      <c r="G9" s="9" t="s">
        <v>80</v>
      </c>
      <c r="H9" s="9" t="s">
        <v>81</v>
      </c>
      <c r="I9" s="8" t="s">
        <v>82</v>
      </c>
      <c r="J9" s="8" t="s">
        <v>60</v>
      </c>
      <c r="K9" s="10" t="s">
        <v>30</v>
      </c>
      <c r="L9" s="9" t="s">
        <v>85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L$9"/>
  <conditionalFormatting sqref="E5:E9">
    <cfRule type="expression" dxfId="0" priority="1">
      <formula>LEFT($E5,4)="Open"</formula>
    </cfRule>
  </conditionalFormatting>
  <conditionalFormatting sqref="E5:E9">
    <cfRule type="expression" dxfId="1" priority="2">
      <formula>LEFT($E5,5)="Check"</formula>
    </cfRule>
  </conditionalFormatting>
  <hyperlinks>
    <hyperlink r:id="rId1" ref="K6"/>
    <hyperlink r:id="rId2" ref="K8"/>
    <hyperlink r:id="rId3" ref="K9"/>
  </hyperlinks>
  <printOptions/>
  <pageMargins bottom="1.0" footer="0.0" header="0.0" left="0.75" right="0.75" top="1.0"/>
  <pageSetup fitToHeight="0" orientation="landscape"/>
  <drawing r:id="rId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4.43" defaultRowHeight="15.0"/>
  <cols>
    <col customWidth="1" min="1" max="1" width="5.0"/>
    <col customWidth="1" min="2" max="2" width="28.0"/>
    <col customWidth="1" min="3" max="3" width="40.0"/>
    <col customWidth="1" min="4" max="5" width="22.0"/>
    <col customWidth="1" min="6" max="6" width="14.0"/>
    <col customWidth="1" min="7" max="7" width="20.0"/>
    <col customWidth="1" min="8" max="8" width="44.0"/>
    <col customWidth="1" min="9" max="9" width="11.0"/>
    <col customWidth="1" min="10" max="10" width="10.0"/>
    <col customWidth="1" min="11" max="11" width="11.0"/>
    <col customWidth="1" min="12" max="12" width="38.0"/>
    <col customWidth="1" min="13" max="26" width="8.71"/>
  </cols>
  <sheetData>
    <row r="1">
      <c r="A1" s="1" t="s">
        <v>68</v>
      </c>
    </row>
    <row r="2">
      <c r="A2" s="3" t="s">
        <v>2</v>
      </c>
    </row>
    <row r="4" ht="25.5" customHeight="1">
      <c r="A4" s="5" t="s">
        <v>4</v>
      </c>
      <c r="B4" s="5" t="s">
        <v>6</v>
      </c>
      <c r="C4" s="5" t="s">
        <v>7</v>
      </c>
      <c r="D4" s="5" t="s">
        <v>9</v>
      </c>
      <c r="E4" s="5" t="s">
        <v>11</v>
      </c>
      <c r="F4" s="5" t="s">
        <v>12</v>
      </c>
      <c r="G4" s="5" t="s">
        <v>14</v>
      </c>
      <c r="H4" s="5" t="s">
        <v>15</v>
      </c>
      <c r="I4" s="5" t="s">
        <v>17</v>
      </c>
      <c r="J4" s="5" t="s">
        <v>18</v>
      </c>
      <c r="K4" s="5" t="s">
        <v>19</v>
      </c>
      <c r="L4" s="5" t="s">
        <v>20</v>
      </c>
    </row>
    <row r="5">
      <c r="A5" s="6" t="s">
        <v>21</v>
      </c>
      <c r="B5" s="7"/>
      <c r="C5" s="7"/>
      <c r="D5" s="7"/>
      <c r="E5" s="7"/>
      <c r="F5" s="7"/>
      <c r="G5" s="7"/>
      <c r="H5" s="7"/>
      <c r="I5" s="7"/>
      <c r="J5" s="7"/>
      <c r="K5" s="7"/>
      <c r="L5" s="7"/>
    </row>
    <row r="6">
      <c r="A6" s="8">
        <v>1.0</v>
      </c>
      <c r="B6" s="9" t="s">
        <v>22</v>
      </c>
      <c r="C6" s="9" t="s">
        <v>84</v>
      </c>
      <c r="D6" s="8" t="s">
        <v>24</v>
      </c>
      <c r="E6" s="8" t="s">
        <v>8</v>
      </c>
      <c r="F6" s="8" t="s">
        <v>25</v>
      </c>
      <c r="G6" s="9" t="s">
        <v>26</v>
      </c>
      <c r="H6" s="9" t="s">
        <v>86</v>
      </c>
      <c r="I6" s="8" t="s">
        <v>28</v>
      </c>
      <c r="J6" s="8" t="s">
        <v>88</v>
      </c>
      <c r="K6" s="10" t="s">
        <v>30</v>
      </c>
      <c r="L6" s="9" t="s">
        <v>90</v>
      </c>
    </row>
    <row r="7">
      <c r="A7" s="8">
        <v>2.0</v>
      </c>
      <c r="B7" s="9" t="s">
        <v>91</v>
      </c>
      <c r="C7" s="9" t="s">
        <v>92</v>
      </c>
      <c r="D7" s="8" t="s">
        <v>57</v>
      </c>
      <c r="E7" s="8" t="s">
        <v>8</v>
      </c>
      <c r="F7" s="8" t="s">
        <v>58</v>
      </c>
      <c r="G7" s="9" t="s">
        <v>50</v>
      </c>
      <c r="H7" s="9" t="s">
        <v>93</v>
      </c>
      <c r="I7" s="8" t="s">
        <v>28</v>
      </c>
      <c r="J7" s="8" t="s">
        <v>94</v>
      </c>
      <c r="K7" s="10" t="s">
        <v>30</v>
      </c>
      <c r="L7" s="9"/>
    </row>
    <row r="8">
      <c r="A8" s="6" t="s">
        <v>67</v>
      </c>
      <c r="B8" s="7"/>
      <c r="C8" s="7"/>
      <c r="D8" s="7"/>
      <c r="E8" s="7"/>
      <c r="F8" s="7"/>
      <c r="G8" s="7"/>
      <c r="H8" s="7"/>
      <c r="I8" s="7"/>
      <c r="J8" s="7"/>
      <c r="K8" s="7"/>
      <c r="L8" s="7"/>
    </row>
    <row r="9">
      <c r="A9" s="8">
        <v>3.0</v>
      </c>
      <c r="B9" s="9" t="s">
        <v>101</v>
      </c>
      <c r="C9" s="9" t="s">
        <v>102</v>
      </c>
      <c r="D9" s="8" t="s">
        <v>103</v>
      </c>
      <c r="E9" s="8" t="s">
        <v>8</v>
      </c>
      <c r="F9" s="8" t="s">
        <v>104</v>
      </c>
      <c r="G9" s="9" t="s">
        <v>105</v>
      </c>
      <c r="H9" s="9" t="s">
        <v>106</v>
      </c>
      <c r="I9" s="8" t="s">
        <v>42</v>
      </c>
      <c r="J9" s="8" t="s">
        <v>107</v>
      </c>
      <c r="K9" s="10" t="s">
        <v>30</v>
      </c>
      <c r="L9" s="9" t="s">
        <v>108</v>
      </c>
    </row>
    <row r="10">
      <c r="A10" s="8">
        <v>4.0</v>
      </c>
      <c r="B10" s="9" t="s">
        <v>70</v>
      </c>
      <c r="C10" s="9" t="s">
        <v>109</v>
      </c>
      <c r="D10" s="8" t="s">
        <v>47</v>
      </c>
      <c r="E10" s="8" t="s">
        <v>8</v>
      </c>
      <c r="F10" s="8" t="s">
        <v>58</v>
      </c>
      <c r="G10" s="9" t="s">
        <v>50</v>
      </c>
      <c r="H10" s="9" t="s">
        <v>110</v>
      </c>
      <c r="I10" s="8" t="s">
        <v>42</v>
      </c>
      <c r="J10" s="8" t="s">
        <v>74</v>
      </c>
      <c r="K10" s="10" t="s">
        <v>30</v>
      </c>
      <c r="L10" s="9"/>
    </row>
    <row r="11">
      <c r="A11" s="8">
        <v>5.0</v>
      </c>
      <c r="B11" s="9" t="s">
        <v>111</v>
      </c>
      <c r="C11" s="9" t="s">
        <v>112</v>
      </c>
      <c r="D11" s="8" t="s">
        <v>47</v>
      </c>
      <c r="E11" s="8" t="s">
        <v>8</v>
      </c>
      <c r="F11" s="8" t="s">
        <v>63</v>
      </c>
      <c r="G11" s="9" t="s">
        <v>50</v>
      </c>
      <c r="H11" s="9" t="s">
        <v>113</v>
      </c>
      <c r="I11" s="8" t="s">
        <v>42</v>
      </c>
      <c r="J11" s="8" t="s">
        <v>74</v>
      </c>
      <c r="K11" s="10" t="s">
        <v>30</v>
      </c>
      <c r="L11" s="9"/>
    </row>
    <row r="12">
      <c r="A12" s="8">
        <v>6.0</v>
      </c>
      <c r="B12" s="9" t="s">
        <v>114</v>
      </c>
      <c r="C12" s="9" t="s">
        <v>115</v>
      </c>
      <c r="D12" s="8" t="s">
        <v>47</v>
      </c>
      <c r="E12" s="8" t="s">
        <v>8</v>
      </c>
      <c r="F12" s="8" t="s">
        <v>116</v>
      </c>
      <c r="G12" s="9" t="s">
        <v>50</v>
      </c>
      <c r="H12" s="9" t="s">
        <v>117</v>
      </c>
      <c r="I12" s="8" t="s">
        <v>42</v>
      </c>
      <c r="J12" s="8" t="s">
        <v>74</v>
      </c>
      <c r="K12" s="10" t="s">
        <v>30</v>
      </c>
      <c r="L12" s="9" t="s">
        <v>118</v>
      </c>
    </row>
    <row r="13">
      <c r="A13" s="8">
        <v>7.0</v>
      </c>
      <c r="B13" s="9" t="s">
        <v>111</v>
      </c>
      <c r="C13" s="9" t="s">
        <v>119</v>
      </c>
      <c r="D13" s="8" t="s">
        <v>47</v>
      </c>
      <c r="E13" s="8" t="s">
        <v>8</v>
      </c>
      <c r="F13" s="8" t="s">
        <v>120</v>
      </c>
      <c r="G13" s="9" t="s">
        <v>50</v>
      </c>
      <c r="H13" s="9" t="s">
        <v>121</v>
      </c>
      <c r="I13" s="8" t="s">
        <v>42</v>
      </c>
      <c r="J13" s="8" t="s">
        <v>74</v>
      </c>
      <c r="K13" s="10" t="s">
        <v>30</v>
      </c>
      <c r="L13" s="9"/>
    </row>
    <row r="14">
      <c r="A14" s="8">
        <v>8.0</v>
      </c>
      <c r="B14" s="9" t="s">
        <v>122</v>
      </c>
      <c r="C14" s="9" t="s">
        <v>123</v>
      </c>
      <c r="D14" s="8" t="s">
        <v>124</v>
      </c>
      <c r="E14" s="8" t="s">
        <v>8</v>
      </c>
      <c r="F14" s="8" t="s">
        <v>125</v>
      </c>
      <c r="G14" s="9" t="s">
        <v>50</v>
      </c>
      <c r="H14" s="9" t="s">
        <v>126</v>
      </c>
      <c r="I14" s="8" t="s">
        <v>42</v>
      </c>
      <c r="J14" s="8" t="s">
        <v>127</v>
      </c>
      <c r="K14" s="10" t="s">
        <v>30</v>
      </c>
      <c r="L14" s="9" t="s">
        <v>128</v>
      </c>
    </row>
    <row r="15">
      <c r="A15" s="8">
        <v>9.0</v>
      </c>
      <c r="B15" s="9" t="s">
        <v>129</v>
      </c>
      <c r="C15" s="9" t="s">
        <v>130</v>
      </c>
      <c r="D15" s="8" t="s">
        <v>131</v>
      </c>
      <c r="E15" s="8" t="s">
        <v>8</v>
      </c>
      <c r="F15" s="8" t="s">
        <v>132</v>
      </c>
      <c r="G15" s="9" t="s">
        <v>50</v>
      </c>
      <c r="H15" s="9" t="s">
        <v>133</v>
      </c>
      <c r="I15" s="8" t="s">
        <v>134</v>
      </c>
      <c r="J15" s="8" t="s">
        <v>135</v>
      </c>
      <c r="K15" s="10" t="s">
        <v>30</v>
      </c>
      <c r="L15" s="9" t="s">
        <v>136</v>
      </c>
    </row>
    <row r="16">
      <c r="A16" s="6" t="s">
        <v>137</v>
      </c>
      <c r="B16" s="7"/>
      <c r="C16" s="7"/>
      <c r="D16" s="7"/>
      <c r="E16" s="7"/>
      <c r="F16" s="7"/>
      <c r="G16" s="7"/>
      <c r="H16" s="7"/>
      <c r="I16" s="7"/>
      <c r="J16" s="7"/>
      <c r="K16" s="7"/>
      <c r="L16" s="7"/>
    </row>
    <row r="17">
      <c r="A17" s="8">
        <v>10.0</v>
      </c>
      <c r="B17" s="9" t="s">
        <v>138</v>
      </c>
      <c r="C17" s="9" t="s">
        <v>139</v>
      </c>
      <c r="D17" s="8" t="s">
        <v>124</v>
      </c>
      <c r="E17" s="8" t="s">
        <v>8</v>
      </c>
      <c r="F17" s="8" t="s">
        <v>140</v>
      </c>
      <c r="G17" s="9" t="s">
        <v>50</v>
      </c>
      <c r="H17" s="9" t="s">
        <v>141</v>
      </c>
      <c r="I17" s="8" t="s">
        <v>42</v>
      </c>
      <c r="J17" s="8" t="s">
        <v>142</v>
      </c>
      <c r="K17" s="10" t="s">
        <v>30</v>
      </c>
      <c r="L17" s="9" t="s">
        <v>143</v>
      </c>
    </row>
    <row r="18">
      <c r="A18" s="8">
        <v>11.0</v>
      </c>
      <c r="B18" s="9" t="s">
        <v>138</v>
      </c>
      <c r="C18" s="9" t="s">
        <v>144</v>
      </c>
      <c r="D18" s="8" t="s">
        <v>124</v>
      </c>
      <c r="E18" s="8" t="s">
        <v>8</v>
      </c>
      <c r="F18" s="8" t="s">
        <v>145</v>
      </c>
      <c r="G18" s="9" t="s">
        <v>50</v>
      </c>
      <c r="H18" s="9" t="s">
        <v>146</v>
      </c>
      <c r="I18" s="8" t="s">
        <v>42</v>
      </c>
      <c r="J18" s="8" t="s">
        <v>127</v>
      </c>
      <c r="K18" s="10" t="s">
        <v>30</v>
      </c>
      <c r="L18" s="9"/>
    </row>
    <row r="19">
      <c r="A19" s="8">
        <v>12.0</v>
      </c>
      <c r="B19" s="9" t="s">
        <v>148</v>
      </c>
      <c r="C19" s="9" t="s">
        <v>149</v>
      </c>
      <c r="D19" s="8" t="s">
        <v>124</v>
      </c>
      <c r="E19" s="8" t="s">
        <v>8</v>
      </c>
      <c r="F19" s="8" t="s">
        <v>150</v>
      </c>
      <c r="G19" s="9" t="s">
        <v>50</v>
      </c>
      <c r="H19" s="9" t="s">
        <v>151</v>
      </c>
      <c r="I19" s="8" t="s">
        <v>42</v>
      </c>
      <c r="J19" s="8" t="s">
        <v>127</v>
      </c>
      <c r="K19" s="10" t="s">
        <v>30</v>
      </c>
      <c r="L19" s="9"/>
    </row>
    <row r="20">
      <c r="A20" s="8">
        <v>13.0</v>
      </c>
      <c r="B20" s="9" t="s">
        <v>138</v>
      </c>
      <c r="C20" s="9" t="s">
        <v>153</v>
      </c>
      <c r="D20" s="8" t="s">
        <v>124</v>
      </c>
      <c r="E20" s="8" t="s">
        <v>8</v>
      </c>
      <c r="F20" s="8" t="s">
        <v>154</v>
      </c>
      <c r="G20" s="9" t="s">
        <v>155</v>
      </c>
      <c r="H20" s="9" t="s">
        <v>156</v>
      </c>
      <c r="I20" s="8" t="s">
        <v>42</v>
      </c>
      <c r="J20" s="8" t="s">
        <v>158</v>
      </c>
      <c r="K20" s="10" t="s">
        <v>30</v>
      </c>
      <c r="L20" s="9" t="s">
        <v>143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L$20"/>
  <conditionalFormatting sqref="E5:E20">
    <cfRule type="expression" dxfId="0" priority="1">
      <formula>LEFT($E5,4)="Open"</formula>
    </cfRule>
  </conditionalFormatting>
  <conditionalFormatting sqref="E5:E20">
    <cfRule type="expression" dxfId="1" priority="2">
      <formula>LEFT($E5,5)="Check"</formula>
    </cfRule>
  </conditionalFormatting>
  <hyperlinks>
    <hyperlink r:id="rId1" ref="K6"/>
    <hyperlink r:id="rId2" ref="K7"/>
    <hyperlink r:id="rId3" ref="K9"/>
    <hyperlink r:id="rId4" ref="K10"/>
    <hyperlink r:id="rId5" ref="K11"/>
    <hyperlink r:id="rId6" ref="K12"/>
    <hyperlink r:id="rId7" ref="K13"/>
    <hyperlink r:id="rId8" ref="K14"/>
    <hyperlink r:id="rId9" ref="K15"/>
    <hyperlink r:id="rId10" ref="K17"/>
    <hyperlink r:id="rId11" ref="K18"/>
    <hyperlink r:id="rId12" ref="K19"/>
    <hyperlink r:id="rId13" ref="K20"/>
  </hyperlinks>
  <printOptions/>
  <pageMargins bottom="1.0" footer="0.0" header="0.0" left="0.75" right="0.75" top="1.0"/>
  <pageSetup fitToHeight="0" orientation="landscape"/>
  <drawing r:id="rId1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4.43" defaultRowHeight="15.0"/>
  <cols>
    <col customWidth="1" min="1" max="1" width="5.0"/>
    <col customWidth="1" min="2" max="2" width="28.0"/>
    <col customWidth="1" min="3" max="3" width="40.0"/>
    <col customWidth="1" min="4" max="5" width="22.0"/>
    <col customWidth="1" min="6" max="6" width="14.0"/>
    <col customWidth="1" min="7" max="7" width="20.0"/>
    <col customWidth="1" min="8" max="8" width="44.0"/>
    <col customWidth="1" min="9" max="9" width="11.0"/>
    <col customWidth="1" min="10" max="10" width="10.0"/>
    <col customWidth="1" min="11" max="11" width="11.0"/>
    <col customWidth="1" min="12" max="12" width="38.0"/>
    <col customWidth="1" min="13" max="26" width="8.71"/>
  </cols>
  <sheetData>
    <row r="1">
      <c r="A1" s="1" t="s">
        <v>147</v>
      </c>
    </row>
    <row r="2">
      <c r="A2" s="3" t="s">
        <v>2</v>
      </c>
    </row>
    <row r="4" ht="25.5" customHeight="1">
      <c r="A4" s="5" t="s">
        <v>4</v>
      </c>
      <c r="B4" s="5" t="s">
        <v>6</v>
      </c>
      <c r="C4" s="5" t="s">
        <v>7</v>
      </c>
      <c r="D4" s="5" t="s">
        <v>9</v>
      </c>
      <c r="E4" s="5" t="s">
        <v>11</v>
      </c>
      <c r="F4" s="5" t="s">
        <v>12</v>
      </c>
      <c r="G4" s="5" t="s">
        <v>14</v>
      </c>
      <c r="H4" s="5" t="s">
        <v>15</v>
      </c>
      <c r="I4" s="5" t="s">
        <v>17</v>
      </c>
      <c r="J4" s="5" t="s">
        <v>18</v>
      </c>
      <c r="K4" s="5" t="s">
        <v>19</v>
      </c>
      <c r="L4" s="5" t="s">
        <v>20</v>
      </c>
    </row>
    <row r="5">
      <c r="A5" s="6" t="s">
        <v>137</v>
      </c>
      <c r="B5" s="7"/>
      <c r="C5" s="7"/>
      <c r="D5" s="7"/>
      <c r="E5" s="7"/>
      <c r="F5" s="7"/>
      <c r="G5" s="7"/>
      <c r="H5" s="7"/>
      <c r="I5" s="7"/>
      <c r="J5" s="7"/>
      <c r="K5" s="7"/>
      <c r="L5" s="7"/>
    </row>
    <row r="6">
      <c r="A6" s="8">
        <v>1.0</v>
      </c>
      <c r="B6" s="9" t="s">
        <v>159</v>
      </c>
      <c r="C6" s="9" t="s">
        <v>160</v>
      </c>
      <c r="D6" s="8" t="s">
        <v>161</v>
      </c>
      <c r="E6" s="8" t="s">
        <v>8</v>
      </c>
      <c r="F6" s="8" t="s">
        <v>162</v>
      </c>
      <c r="G6" s="9" t="s">
        <v>163</v>
      </c>
      <c r="H6" s="9" t="s">
        <v>164</v>
      </c>
      <c r="I6" s="8" t="s">
        <v>165</v>
      </c>
      <c r="J6" s="8" t="s">
        <v>74</v>
      </c>
      <c r="K6" s="10" t="s">
        <v>30</v>
      </c>
      <c r="L6" s="9"/>
    </row>
    <row r="7">
      <c r="A7" s="8">
        <v>2.0</v>
      </c>
      <c r="B7" s="9" t="s">
        <v>159</v>
      </c>
      <c r="C7" s="9" t="s">
        <v>169</v>
      </c>
      <c r="D7" s="8" t="s">
        <v>170</v>
      </c>
      <c r="E7" s="8" t="s">
        <v>8</v>
      </c>
      <c r="F7" s="8" t="s">
        <v>171</v>
      </c>
      <c r="G7" s="9" t="s">
        <v>50</v>
      </c>
      <c r="H7" s="9" t="s">
        <v>172</v>
      </c>
      <c r="I7" s="8" t="s">
        <v>165</v>
      </c>
      <c r="J7" s="8" t="s">
        <v>74</v>
      </c>
      <c r="K7" s="10" t="s">
        <v>30</v>
      </c>
      <c r="L7" s="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L$7"/>
  <conditionalFormatting sqref="E5:E7">
    <cfRule type="expression" dxfId="0" priority="1">
      <formula>LEFT($E5,4)="Open"</formula>
    </cfRule>
  </conditionalFormatting>
  <conditionalFormatting sqref="E5:E7">
    <cfRule type="expression" dxfId="1" priority="2">
      <formula>LEFT($E5,5)="Check"</formula>
    </cfRule>
  </conditionalFormatting>
  <hyperlinks>
    <hyperlink r:id="rId1" ref="K6"/>
    <hyperlink r:id="rId2" ref="K7"/>
  </hyperlinks>
  <printOptions/>
  <pageMargins bottom="1.0" footer="0.0" header="0.0" left="0.75" right="0.75" top="1.0"/>
  <pageSetup fitToHeight="0" orientation="landscape"/>
  <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4.43" defaultRowHeight="15.0"/>
  <cols>
    <col customWidth="1" min="1" max="1" width="5.0"/>
    <col customWidth="1" min="2" max="2" width="28.0"/>
    <col customWidth="1" min="3" max="3" width="40.0"/>
    <col customWidth="1" min="4" max="5" width="22.0"/>
    <col customWidth="1" min="6" max="6" width="14.0"/>
    <col customWidth="1" min="7" max="7" width="20.0"/>
    <col customWidth="1" min="8" max="8" width="44.0"/>
    <col customWidth="1" min="9" max="9" width="11.0"/>
    <col customWidth="1" min="10" max="10" width="10.0"/>
    <col customWidth="1" min="11" max="11" width="11.0"/>
    <col customWidth="1" min="12" max="12" width="38.0"/>
    <col customWidth="1" min="13" max="26" width="8.71"/>
  </cols>
  <sheetData>
    <row r="1">
      <c r="A1" s="1" t="s">
        <v>152</v>
      </c>
    </row>
    <row r="2">
      <c r="A2" s="3" t="s">
        <v>2</v>
      </c>
    </row>
    <row r="4" ht="25.5" customHeight="1">
      <c r="A4" s="5" t="s">
        <v>4</v>
      </c>
      <c r="B4" s="5" t="s">
        <v>6</v>
      </c>
      <c r="C4" s="5" t="s">
        <v>7</v>
      </c>
      <c r="D4" s="5" t="s">
        <v>9</v>
      </c>
      <c r="E4" s="5" t="s">
        <v>11</v>
      </c>
      <c r="F4" s="5" t="s">
        <v>12</v>
      </c>
      <c r="G4" s="5" t="s">
        <v>14</v>
      </c>
      <c r="H4" s="5" t="s">
        <v>15</v>
      </c>
      <c r="I4" s="5" t="s">
        <v>17</v>
      </c>
      <c r="J4" s="5" t="s">
        <v>18</v>
      </c>
      <c r="K4" s="5" t="s">
        <v>19</v>
      </c>
      <c r="L4" s="5" t="s">
        <v>20</v>
      </c>
    </row>
    <row r="5">
      <c r="A5" s="6" t="s">
        <v>21</v>
      </c>
      <c r="B5" s="7"/>
      <c r="C5" s="7"/>
      <c r="D5" s="7"/>
      <c r="E5" s="7"/>
      <c r="F5" s="7"/>
      <c r="G5" s="7"/>
      <c r="H5" s="7"/>
      <c r="I5" s="7"/>
      <c r="J5" s="7"/>
      <c r="K5" s="7"/>
      <c r="L5" s="7"/>
    </row>
    <row r="6">
      <c r="A6" s="8">
        <v>1.0</v>
      </c>
      <c r="B6" s="9" t="s">
        <v>22</v>
      </c>
      <c r="C6" s="9" t="s">
        <v>166</v>
      </c>
      <c r="D6" s="8" t="s">
        <v>24</v>
      </c>
      <c r="E6" s="8" t="s">
        <v>8</v>
      </c>
      <c r="F6" s="8" t="s">
        <v>63</v>
      </c>
      <c r="G6" s="9" t="s">
        <v>26</v>
      </c>
      <c r="H6" s="9" t="s">
        <v>167</v>
      </c>
      <c r="I6" s="8" t="s">
        <v>28</v>
      </c>
      <c r="J6" s="8" t="s">
        <v>168</v>
      </c>
      <c r="K6" s="10" t="s">
        <v>30</v>
      </c>
      <c r="L6" s="9" t="s">
        <v>35</v>
      </c>
    </row>
    <row r="7">
      <c r="A7" s="8">
        <v>2.0</v>
      </c>
      <c r="B7" s="9" t="s">
        <v>22</v>
      </c>
      <c r="C7" s="9" t="s">
        <v>173</v>
      </c>
      <c r="D7" s="8" t="s">
        <v>24</v>
      </c>
      <c r="E7" s="8" t="s">
        <v>8</v>
      </c>
      <c r="F7" s="8" t="s">
        <v>63</v>
      </c>
      <c r="G7" s="9" t="s">
        <v>26</v>
      </c>
      <c r="H7" s="9" t="s">
        <v>174</v>
      </c>
      <c r="I7" s="8" t="s">
        <v>28</v>
      </c>
      <c r="J7" s="8" t="s">
        <v>60</v>
      </c>
      <c r="K7" s="10" t="s">
        <v>30</v>
      </c>
      <c r="L7" s="9" t="s">
        <v>177</v>
      </c>
    </row>
    <row r="8">
      <c r="A8" s="8">
        <v>3.0</v>
      </c>
      <c r="B8" s="9" t="s">
        <v>178</v>
      </c>
      <c r="C8" s="9" t="s">
        <v>179</v>
      </c>
      <c r="D8" s="8" t="s">
        <v>180</v>
      </c>
      <c r="E8" s="8" t="s">
        <v>8</v>
      </c>
      <c r="F8" s="8" t="s">
        <v>58</v>
      </c>
      <c r="G8" s="9" t="s">
        <v>181</v>
      </c>
      <c r="H8" s="9" t="s">
        <v>182</v>
      </c>
      <c r="I8" s="8" t="s">
        <v>28</v>
      </c>
      <c r="J8" s="8" t="s">
        <v>183</v>
      </c>
      <c r="K8" s="10" t="s">
        <v>30</v>
      </c>
      <c r="L8" s="9"/>
    </row>
    <row r="9">
      <c r="A9" s="8">
        <v>4.0</v>
      </c>
      <c r="B9" s="9" t="s">
        <v>186</v>
      </c>
      <c r="C9" s="9" t="s">
        <v>179</v>
      </c>
      <c r="D9" s="8" t="s">
        <v>57</v>
      </c>
      <c r="E9" s="8" t="s">
        <v>8</v>
      </c>
      <c r="F9" s="8" t="s">
        <v>58</v>
      </c>
      <c r="G9" s="9" t="s">
        <v>50</v>
      </c>
      <c r="H9" s="9" t="s">
        <v>189</v>
      </c>
      <c r="I9" s="8" t="s">
        <v>28</v>
      </c>
      <c r="J9" s="8" t="s">
        <v>65</v>
      </c>
      <c r="K9" s="10" t="s">
        <v>30</v>
      </c>
      <c r="L9" s="9"/>
    </row>
    <row r="10">
      <c r="A10" s="6" t="s">
        <v>67</v>
      </c>
      <c r="B10" s="7"/>
      <c r="C10" s="7"/>
      <c r="D10" s="7"/>
      <c r="E10" s="7"/>
      <c r="F10" s="7"/>
      <c r="G10" s="7"/>
      <c r="H10" s="7"/>
      <c r="I10" s="7"/>
      <c r="J10" s="7"/>
      <c r="K10" s="7"/>
      <c r="L10" s="7"/>
    </row>
    <row r="11">
      <c r="A11" s="8">
        <v>5.0</v>
      </c>
      <c r="B11" s="9" t="s">
        <v>191</v>
      </c>
      <c r="C11" s="9" t="s">
        <v>192</v>
      </c>
      <c r="D11" s="8" t="s">
        <v>47</v>
      </c>
      <c r="E11" s="8" t="s">
        <v>8</v>
      </c>
      <c r="F11" s="8" t="s">
        <v>63</v>
      </c>
      <c r="G11" s="9" t="s">
        <v>50</v>
      </c>
      <c r="H11" s="9" t="s">
        <v>193</v>
      </c>
      <c r="I11" s="8" t="s">
        <v>42</v>
      </c>
      <c r="J11" s="8" t="s">
        <v>52</v>
      </c>
      <c r="K11" s="10" t="s">
        <v>30</v>
      </c>
      <c r="L11" s="9" t="s">
        <v>200</v>
      </c>
    </row>
    <row r="12">
      <c r="A12" s="8">
        <v>6.0</v>
      </c>
      <c r="B12" s="9" t="s">
        <v>201</v>
      </c>
      <c r="C12" s="9" t="s">
        <v>202</v>
      </c>
      <c r="D12" s="8" t="s">
        <v>47</v>
      </c>
      <c r="E12" s="8" t="s">
        <v>8</v>
      </c>
      <c r="F12" s="8" t="s">
        <v>25</v>
      </c>
      <c r="G12" s="9" t="s">
        <v>50</v>
      </c>
      <c r="H12" s="9" t="s">
        <v>203</v>
      </c>
      <c r="I12" s="8" t="s">
        <v>42</v>
      </c>
      <c r="J12" s="8" t="s">
        <v>43</v>
      </c>
      <c r="K12" s="10" t="s">
        <v>30</v>
      </c>
      <c r="L12" s="9" t="s">
        <v>211</v>
      </c>
    </row>
    <row r="13">
      <c r="A13" s="8">
        <v>7.0</v>
      </c>
      <c r="B13" s="9" t="s">
        <v>212</v>
      </c>
      <c r="C13" s="9" t="s">
        <v>213</v>
      </c>
      <c r="D13" s="8" t="s">
        <v>47</v>
      </c>
      <c r="E13" s="8" t="s">
        <v>8</v>
      </c>
      <c r="F13" s="8" t="s">
        <v>25</v>
      </c>
      <c r="G13" s="9" t="s">
        <v>50</v>
      </c>
      <c r="H13" s="9" t="s">
        <v>214</v>
      </c>
      <c r="I13" s="8" t="s">
        <v>42</v>
      </c>
      <c r="J13" s="8" t="s">
        <v>43</v>
      </c>
      <c r="K13" s="10" t="s">
        <v>30</v>
      </c>
      <c r="L13" s="9" t="s">
        <v>200</v>
      </c>
    </row>
    <row r="14">
      <c r="A14" s="8">
        <v>8.0</v>
      </c>
      <c r="B14" s="9" t="s">
        <v>201</v>
      </c>
      <c r="C14" s="9" t="s">
        <v>217</v>
      </c>
      <c r="D14" s="8" t="s">
        <v>47</v>
      </c>
      <c r="E14" s="8" t="s">
        <v>8</v>
      </c>
      <c r="F14" s="8" t="s">
        <v>219</v>
      </c>
      <c r="G14" s="9" t="s">
        <v>50</v>
      </c>
      <c r="H14" s="9" t="s">
        <v>220</v>
      </c>
      <c r="I14" s="8" t="s">
        <v>42</v>
      </c>
      <c r="J14" s="8" t="s">
        <v>74</v>
      </c>
      <c r="K14" s="10" t="s">
        <v>30</v>
      </c>
      <c r="L14" s="9"/>
    </row>
    <row r="15">
      <c r="A15" s="8">
        <v>9.0</v>
      </c>
      <c r="B15" s="9" t="s">
        <v>111</v>
      </c>
      <c r="C15" s="9" t="s">
        <v>221</v>
      </c>
      <c r="D15" s="8" t="s">
        <v>47</v>
      </c>
      <c r="E15" s="8" t="s">
        <v>8</v>
      </c>
      <c r="F15" s="8" t="s">
        <v>58</v>
      </c>
      <c r="G15" s="9" t="s">
        <v>50</v>
      </c>
      <c r="H15" s="9" t="s">
        <v>223</v>
      </c>
      <c r="I15" s="8" t="s">
        <v>42</v>
      </c>
      <c r="J15" s="8" t="s">
        <v>74</v>
      </c>
      <c r="K15" s="10" t="s">
        <v>30</v>
      </c>
      <c r="L15" s="9"/>
    </row>
    <row r="16">
      <c r="A16" s="8">
        <v>10.0</v>
      </c>
      <c r="B16" s="9" t="s">
        <v>201</v>
      </c>
      <c r="C16" s="9" t="s">
        <v>230</v>
      </c>
      <c r="D16" s="8" t="s">
        <v>47</v>
      </c>
      <c r="E16" s="8" t="s">
        <v>8</v>
      </c>
      <c r="F16" s="8" t="s">
        <v>58</v>
      </c>
      <c r="G16" s="9" t="s">
        <v>50</v>
      </c>
      <c r="H16" s="9" t="s">
        <v>231</v>
      </c>
      <c r="I16" s="8" t="s">
        <v>42</v>
      </c>
      <c r="J16" s="8" t="s">
        <v>74</v>
      </c>
      <c r="K16" s="10" t="s">
        <v>30</v>
      </c>
      <c r="L16" s="9"/>
    </row>
    <row r="17">
      <c r="A17" s="8">
        <v>11.0</v>
      </c>
      <c r="B17" s="9" t="s">
        <v>238</v>
      </c>
      <c r="C17" s="9" t="s">
        <v>239</v>
      </c>
      <c r="D17" s="8" t="s">
        <v>131</v>
      </c>
      <c r="E17" s="8" t="s">
        <v>8</v>
      </c>
      <c r="F17" s="8" t="s">
        <v>63</v>
      </c>
      <c r="G17" s="9" t="s">
        <v>50</v>
      </c>
      <c r="H17" s="9" t="s">
        <v>240</v>
      </c>
      <c r="I17" s="8" t="s">
        <v>134</v>
      </c>
      <c r="J17" s="8" t="s">
        <v>29</v>
      </c>
      <c r="K17" s="10" t="s">
        <v>30</v>
      </c>
      <c r="L17" s="9" t="s">
        <v>241</v>
      </c>
    </row>
    <row r="18">
      <c r="A18" s="6" t="s">
        <v>137</v>
      </c>
      <c r="B18" s="7"/>
      <c r="C18" s="7"/>
      <c r="D18" s="7"/>
      <c r="E18" s="7"/>
      <c r="F18" s="7"/>
      <c r="G18" s="7"/>
      <c r="H18" s="7"/>
      <c r="I18" s="7"/>
      <c r="J18" s="7"/>
      <c r="K18" s="7"/>
      <c r="L18" s="7"/>
    </row>
    <row r="19">
      <c r="A19" s="8">
        <v>12.0</v>
      </c>
      <c r="B19" s="9" t="s">
        <v>243</v>
      </c>
      <c r="C19" s="9" t="s">
        <v>244</v>
      </c>
      <c r="D19" s="8" t="s">
        <v>245</v>
      </c>
      <c r="E19" s="8" t="s">
        <v>8</v>
      </c>
      <c r="F19" s="8" t="s">
        <v>63</v>
      </c>
      <c r="G19" s="9" t="s">
        <v>50</v>
      </c>
      <c r="H19" s="9" t="s">
        <v>246</v>
      </c>
      <c r="I19" s="8" t="s">
        <v>228</v>
      </c>
      <c r="J19" s="8" t="s">
        <v>247</v>
      </c>
      <c r="K19" s="10" t="s">
        <v>30</v>
      </c>
      <c r="L19" s="9" t="s">
        <v>248</v>
      </c>
    </row>
    <row r="20">
      <c r="A20" s="8">
        <v>13.0</v>
      </c>
      <c r="B20" s="9" t="s">
        <v>249</v>
      </c>
      <c r="C20" s="9" t="s">
        <v>250</v>
      </c>
      <c r="D20" s="8" t="s">
        <v>245</v>
      </c>
      <c r="E20" s="8" t="s">
        <v>8</v>
      </c>
      <c r="F20" s="8" t="s">
        <v>63</v>
      </c>
      <c r="G20" s="9" t="s">
        <v>50</v>
      </c>
      <c r="H20" s="9" t="s">
        <v>251</v>
      </c>
      <c r="I20" s="8" t="s">
        <v>228</v>
      </c>
      <c r="J20" s="8" t="s">
        <v>43</v>
      </c>
      <c r="K20" s="10" t="s">
        <v>30</v>
      </c>
      <c r="L20" s="9" t="s">
        <v>255</v>
      </c>
    </row>
    <row r="21" ht="15.75" customHeight="1">
      <c r="A21" s="8">
        <v>14.0</v>
      </c>
      <c r="B21" s="9" t="s">
        <v>148</v>
      </c>
      <c r="C21" s="9" t="s">
        <v>256</v>
      </c>
      <c r="D21" s="8" t="s">
        <v>124</v>
      </c>
      <c r="E21" s="8" t="s">
        <v>8</v>
      </c>
      <c r="F21" s="8" t="s">
        <v>257</v>
      </c>
      <c r="G21" s="9" t="s">
        <v>50</v>
      </c>
      <c r="H21" s="9" t="s">
        <v>258</v>
      </c>
      <c r="I21" s="8" t="s">
        <v>42</v>
      </c>
      <c r="J21" s="8" t="s">
        <v>127</v>
      </c>
      <c r="K21" s="10" t="s">
        <v>30</v>
      </c>
      <c r="L21" s="9"/>
    </row>
    <row r="22" ht="15.75" customHeight="1">
      <c r="A22" s="8">
        <v>15.0</v>
      </c>
      <c r="B22" s="9" t="s">
        <v>148</v>
      </c>
      <c r="C22" s="9" t="s">
        <v>259</v>
      </c>
      <c r="D22" s="8" t="s">
        <v>124</v>
      </c>
      <c r="E22" s="8" t="s">
        <v>8</v>
      </c>
      <c r="F22" s="8" t="s">
        <v>260</v>
      </c>
      <c r="G22" s="9" t="s">
        <v>50</v>
      </c>
      <c r="H22" s="9" t="s">
        <v>261</v>
      </c>
      <c r="I22" s="8" t="s">
        <v>42</v>
      </c>
      <c r="J22" s="8" t="s">
        <v>210</v>
      </c>
      <c r="K22" s="10" t="s">
        <v>30</v>
      </c>
      <c r="L22" s="9"/>
    </row>
    <row r="23" ht="15.75" customHeight="1">
      <c r="A23" s="8">
        <v>16.0</v>
      </c>
      <c r="B23" s="9" t="s">
        <v>148</v>
      </c>
      <c r="C23" s="9" t="s">
        <v>269</v>
      </c>
      <c r="D23" s="8" t="s">
        <v>124</v>
      </c>
      <c r="E23" s="8" t="s">
        <v>8</v>
      </c>
      <c r="F23" s="8" t="s">
        <v>270</v>
      </c>
      <c r="G23" s="9" t="s">
        <v>50</v>
      </c>
      <c r="H23" s="9" t="s">
        <v>271</v>
      </c>
      <c r="I23" s="8" t="s">
        <v>42</v>
      </c>
      <c r="J23" s="8" t="s">
        <v>127</v>
      </c>
      <c r="K23" s="10" t="s">
        <v>30</v>
      </c>
      <c r="L23" s="9"/>
    </row>
    <row r="24" ht="15.75" customHeight="1">
      <c r="A24" s="8">
        <v>17.0</v>
      </c>
      <c r="B24" s="9" t="s">
        <v>138</v>
      </c>
      <c r="C24" s="9" t="s">
        <v>276</v>
      </c>
      <c r="D24" s="8" t="s">
        <v>124</v>
      </c>
      <c r="E24" s="8" t="s">
        <v>8</v>
      </c>
      <c r="F24" s="8" t="s">
        <v>279</v>
      </c>
      <c r="G24" s="9" t="s">
        <v>50</v>
      </c>
      <c r="H24" s="9" t="s">
        <v>282</v>
      </c>
      <c r="I24" s="8" t="s">
        <v>42</v>
      </c>
      <c r="J24" s="8" t="s">
        <v>127</v>
      </c>
      <c r="K24" s="10" t="s">
        <v>30</v>
      </c>
      <c r="L24" s="9"/>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L$24"/>
  <conditionalFormatting sqref="E5:E24">
    <cfRule type="expression" dxfId="0" priority="1">
      <formula>LEFT($E5,4)="Open"</formula>
    </cfRule>
  </conditionalFormatting>
  <conditionalFormatting sqref="E5:E24">
    <cfRule type="expression" dxfId="1" priority="2">
      <formula>LEFT($E5,5)="Check"</formula>
    </cfRule>
  </conditionalFormatting>
  <hyperlinks>
    <hyperlink r:id="rId1" ref="K6"/>
    <hyperlink r:id="rId2" ref="K7"/>
    <hyperlink r:id="rId3" ref="K8"/>
    <hyperlink r:id="rId4" ref="K9"/>
    <hyperlink r:id="rId5" ref="K11"/>
    <hyperlink r:id="rId6" ref="K12"/>
    <hyperlink r:id="rId7" ref="K13"/>
    <hyperlink r:id="rId8" ref="K14"/>
    <hyperlink r:id="rId9" ref="K15"/>
    <hyperlink r:id="rId10" ref="K16"/>
    <hyperlink r:id="rId11" ref="K17"/>
    <hyperlink r:id="rId12" ref="K19"/>
    <hyperlink r:id="rId13" ref="K20"/>
    <hyperlink r:id="rId14" ref="K21"/>
    <hyperlink r:id="rId15" ref="K22"/>
    <hyperlink r:id="rId16" ref="K23"/>
    <hyperlink r:id="rId17" ref="K24"/>
  </hyperlinks>
  <printOptions/>
  <pageMargins bottom="1.0" footer="0.0" header="0.0" left="0.75" right="0.75" top="1.0"/>
  <pageSetup fitToHeight="0" orientation="landscape"/>
  <drawing r:id="rId1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4.43" defaultRowHeight="15.0"/>
  <cols>
    <col customWidth="1" min="1" max="1" width="5.0"/>
    <col customWidth="1" min="2" max="2" width="28.0"/>
    <col customWidth="1" min="3" max="3" width="40.0"/>
    <col customWidth="1" min="4" max="5" width="22.0"/>
    <col customWidth="1" min="6" max="6" width="14.0"/>
    <col customWidth="1" min="7" max="7" width="20.0"/>
    <col customWidth="1" min="8" max="8" width="44.0"/>
    <col customWidth="1" min="9" max="9" width="11.0"/>
    <col customWidth="1" min="10" max="10" width="10.0"/>
    <col customWidth="1" min="11" max="11" width="11.0"/>
    <col customWidth="1" min="12" max="12" width="38.0"/>
    <col customWidth="1" min="13" max="26" width="8.71"/>
  </cols>
  <sheetData>
    <row r="1">
      <c r="A1" s="1" t="s">
        <v>157</v>
      </c>
    </row>
    <row r="2">
      <c r="A2" s="3" t="s">
        <v>2</v>
      </c>
    </row>
    <row r="4" ht="25.5" customHeight="1">
      <c r="A4" s="5" t="s">
        <v>4</v>
      </c>
      <c r="B4" s="5" t="s">
        <v>6</v>
      </c>
      <c r="C4" s="5" t="s">
        <v>7</v>
      </c>
      <c r="D4" s="5" t="s">
        <v>9</v>
      </c>
      <c r="E4" s="5" t="s">
        <v>11</v>
      </c>
      <c r="F4" s="5" t="s">
        <v>12</v>
      </c>
      <c r="G4" s="5" t="s">
        <v>14</v>
      </c>
      <c r="H4" s="5" t="s">
        <v>15</v>
      </c>
      <c r="I4" s="5" t="s">
        <v>17</v>
      </c>
      <c r="J4" s="5" t="s">
        <v>18</v>
      </c>
      <c r="K4" s="5" t="s">
        <v>19</v>
      </c>
      <c r="L4" s="5" t="s">
        <v>20</v>
      </c>
    </row>
    <row r="5">
      <c r="A5" s="6" t="s">
        <v>21</v>
      </c>
      <c r="B5" s="7"/>
      <c r="C5" s="7"/>
      <c r="D5" s="7"/>
      <c r="E5" s="7"/>
      <c r="F5" s="7"/>
      <c r="G5" s="7"/>
      <c r="H5" s="7"/>
      <c r="I5" s="7"/>
      <c r="J5" s="7"/>
      <c r="K5" s="7"/>
      <c r="L5" s="7"/>
    </row>
    <row r="6">
      <c r="A6" s="8">
        <v>1.0</v>
      </c>
      <c r="B6" s="9" t="s">
        <v>22</v>
      </c>
      <c r="C6" s="9" t="s">
        <v>175</v>
      </c>
      <c r="D6" s="8" t="s">
        <v>24</v>
      </c>
      <c r="E6" s="8" t="s">
        <v>8</v>
      </c>
      <c r="F6" s="8" t="s">
        <v>63</v>
      </c>
      <c r="G6" s="9" t="s">
        <v>26</v>
      </c>
      <c r="H6" s="9" t="s">
        <v>176</v>
      </c>
      <c r="I6" s="8" t="s">
        <v>28</v>
      </c>
      <c r="J6" s="8" t="s">
        <v>168</v>
      </c>
      <c r="K6" s="10" t="s">
        <v>30</v>
      </c>
      <c r="L6" s="9" t="s">
        <v>184</v>
      </c>
    </row>
    <row r="7">
      <c r="A7" s="8">
        <v>2.0</v>
      </c>
      <c r="B7" s="9" t="s">
        <v>45</v>
      </c>
      <c r="C7" s="9" t="s">
        <v>185</v>
      </c>
      <c r="D7" s="8" t="s">
        <v>47</v>
      </c>
      <c r="E7" s="8" t="s">
        <v>8</v>
      </c>
      <c r="F7" s="8" t="s">
        <v>63</v>
      </c>
      <c r="G7" s="9" t="s">
        <v>187</v>
      </c>
      <c r="H7" s="9" t="s">
        <v>188</v>
      </c>
      <c r="I7" s="8" t="s">
        <v>42</v>
      </c>
      <c r="J7" s="8" t="s">
        <v>52</v>
      </c>
      <c r="K7" s="10" t="s">
        <v>30</v>
      </c>
      <c r="L7" s="9" t="s">
        <v>190</v>
      </c>
    </row>
    <row r="8">
      <c r="A8" s="6" t="s">
        <v>67</v>
      </c>
      <c r="B8" s="7"/>
      <c r="C8" s="7"/>
      <c r="D8" s="7"/>
      <c r="E8" s="7"/>
      <c r="F8" s="7"/>
      <c r="G8" s="7"/>
      <c r="H8" s="7"/>
      <c r="I8" s="7"/>
      <c r="J8" s="7"/>
      <c r="K8" s="7"/>
      <c r="L8" s="7"/>
    </row>
    <row r="9">
      <c r="A9" s="8">
        <v>3.0</v>
      </c>
      <c r="B9" s="9" t="s">
        <v>194</v>
      </c>
      <c r="C9" s="9" t="s">
        <v>195</v>
      </c>
      <c r="D9" s="8" t="s">
        <v>196</v>
      </c>
      <c r="E9" s="8" t="s">
        <v>8</v>
      </c>
      <c r="F9" s="8" t="s">
        <v>197</v>
      </c>
      <c r="G9" s="9" t="s">
        <v>198</v>
      </c>
      <c r="H9" s="9" t="s">
        <v>199</v>
      </c>
      <c r="I9" s="8" t="s">
        <v>42</v>
      </c>
      <c r="J9" s="8" t="s">
        <v>74</v>
      </c>
      <c r="K9" s="10" t="s">
        <v>30</v>
      </c>
      <c r="L9" s="9" t="s">
        <v>204</v>
      </c>
    </row>
    <row r="10">
      <c r="A10" s="8">
        <v>4.0</v>
      </c>
      <c r="B10" s="9" t="s">
        <v>205</v>
      </c>
      <c r="C10" s="9" t="s">
        <v>206</v>
      </c>
      <c r="D10" s="8" t="s">
        <v>38</v>
      </c>
      <c r="E10" s="8" t="s">
        <v>8</v>
      </c>
      <c r="F10" s="8" t="s">
        <v>207</v>
      </c>
      <c r="G10" s="9" t="s">
        <v>208</v>
      </c>
      <c r="H10" s="9" t="s">
        <v>209</v>
      </c>
      <c r="I10" s="8" t="s">
        <v>42</v>
      </c>
      <c r="J10" s="8" t="s">
        <v>210</v>
      </c>
      <c r="K10" s="10" t="s">
        <v>30</v>
      </c>
      <c r="L10" s="9"/>
    </row>
    <row r="11">
      <c r="A11" s="8">
        <v>5.0</v>
      </c>
      <c r="B11" s="9" t="s">
        <v>70</v>
      </c>
      <c r="C11" s="9" t="s">
        <v>215</v>
      </c>
      <c r="D11" s="8" t="s">
        <v>47</v>
      </c>
      <c r="E11" s="8" t="s">
        <v>8</v>
      </c>
      <c r="F11" s="8" t="s">
        <v>216</v>
      </c>
      <c r="G11" s="9" t="s">
        <v>50</v>
      </c>
      <c r="H11" s="9" t="s">
        <v>218</v>
      </c>
      <c r="I11" s="8" t="s">
        <v>42</v>
      </c>
      <c r="J11" s="8" t="s">
        <v>74</v>
      </c>
      <c r="K11" s="10" t="s">
        <v>30</v>
      </c>
      <c r="L11" s="9"/>
    </row>
    <row r="12">
      <c r="A12" s="8">
        <v>6.0</v>
      </c>
      <c r="B12" s="9" t="s">
        <v>222</v>
      </c>
      <c r="C12" s="9" t="s">
        <v>224</v>
      </c>
      <c r="D12" s="8" t="s">
        <v>225</v>
      </c>
      <c r="E12" s="8" t="s">
        <v>8</v>
      </c>
      <c r="F12" s="8" t="s">
        <v>226</v>
      </c>
      <c r="G12" s="9" t="s">
        <v>50</v>
      </c>
      <c r="H12" s="9" t="s">
        <v>227</v>
      </c>
      <c r="I12" s="8" t="s">
        <v>228</v>
      </c>
      <c r="J12" s="8" t="s">
        <v>229</v>
      </c>
      <c r="K12" s="10" t="s">
        <v>30</v>
      </c>
      <c r="L12" s="9"/>
    </row>
    <row r="13">
      <c r="A13" s="8">
        <v>7.0</v>
      </c>
      <c r="B13" s="9" t="s">
        <v>232</v>
      </c>
      <c r="C13" s="9" t="s">
        <v>233</v>
      </c>
      <c r="D13" s="8" t="s">
        <v>234</v>
      </c>
      <c r="E13" s="8" t="s">
        <v>8</v>
      </c>
      <c r="F13" s="8" t="s">
        <v>235</v>
      </c>
      <c r="G13" s="9" t="s">
        <v>236</v>
      </c>
      <c r="H13" s="9" t="s">
        <v>237</v>
      </c>
      <c r="I13" s="8" t="s">
        <v>134</v>
      </c>
      <c r="J13" s="8" t="s">
        <v>74</v>
      </c>
      <c r="K13" s="10" t="s">
        <v>30</v>
      </c>
      <c r="L13" s="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L$13"/>
  <conditionalFormatting sqref="E5:E13">
    <cfRule type="expression" dxfId="0" priority="1">
      <formula>LEFT($E5,4)="Open"</formula>
    </cfRule>
  </conditionalFormatting>
  <conditionalFormatting sqref="E5:E13">
    <cfRule type="expression" dxfId="1" priority="2">
      <formula>LEFT($E5,5)="Check"</formula>
    </cfRule>
  </conditionalFormatting>
  <hyperlinks>
    <hyperlink r:id="rId1" ref="K6"/>
    <hyperlink r:id="rId2" ref="K7"/>
    <hyperlink r:id="rId3" ref="K9"/>
    <hyperlink r:id="rId4" ref="K10"/>
    <hyperlink r:id="rId5" ref="K11"/>
    <hyperlink r:id="rId6" ref="K12"/>
    <hyperlink r:id="rId7" ref="K13"/>
  </hyperlinks>
  <printOptions/>
  <pageMargins bottom="1.0" footer="0.0" header="0.0" left="0.75" right="0.75" top="1.0"/>
  <pageSetup fitToHeight="0" orientation="landscape"/>
  <drawing r:id="rId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4.43" defaultRowHeight="15.0"/>
  <cols>
    <col customWidth="1" min="1" max="1" width="5.0"/>
    <col customWidth="1" min="2" max="2" width="28.0"/>
    <col customWidth="1" min="3" max="3" width="40.0"/>
    <col customWidth="1" min="4" max="5" width="22.0"/>
    <col customWidth="1" min="6" max="6" width="14.0"/>
    <col customWidth="1" min="7" max="7" width="20.0"/>
    <col customWidth="1" min="8" max="8" width="44.0"/>
    <col customWidth="1" min="9" max="9" width="11.0"/>
    <col customWidth="1" min="10" max="10" width="10.0"/>
    <col customWidth="1" min="11" max="11" width="11.0"/>
    <col customWidth="1" min="12" max="12" width="38.0"/>
    <col customWidth="1" min="13" max="26" width="8.71"/>
  </cols>
  <sheetData>
    <row r="1">
      <c r="A1" s="1" t="s">
        <v>242</v>
      </c>
    </row>
    <row r="2">
      <c r="A2" s="3" t="s">
        <v>2</v>
      </c>
    </row>
    <row r="4" ht="25.5" customHeight="1">
      <c r="A4" s="5" t="s">
        <v>4</v>
      </c>
      <c r="B4" s="5" t="s">
        <v>6</v>
      </c>
      <c r="C4" s="5" t="s">
        <v>7</v>
      </c>
      <c r="D4" s="5" t="s">
        <v>9</v>
      </c>
      <c r="E4" s="5" t="s">
        <v>11</v>
      </c>
      <c r="F4" s="5" t="s">
        <v>12</v>
      </c>
      <c r="G4" s="5" t="s">
        <v>14</v>
      </c>
      <c r="H4" s="5" t="s">
        <v>15</v>
      </c>
      <c r="I4" s="5" t="s">
        <v>17</v>
      </c>
      <c r="J4" s="5" t="s">
        <v>18</v>
      </c>
      <c r="K4" s="5" t="s">
        <v>19</v>
      </c>
      <c r="L4" s="5" t="s">
        <v>20</v>
      </c>
    </row>
    <row r="5">
      <c r="A5" s="6" t="s">
        <v>21</v>
      </c>
      <c r="B5" s="7"/>
      <c r="C5" s="7"/>
      <c r="D5" s="7"/>
      <c r="E5" s="7"/>
      <c r="F5" s="7"/>
      <c r="G5" s="7"/>
      <c r="H5" s="7"/>
      <c r="I5" s="7"/>
      <c r="J5" s="7"/>
      <c r="K5" s="7"/>
      <c r="L5" s="7"/>
    </row>
    <row r="6">
      <c r="A6" s="8">
        <v>1.0</v>
      </c>
      <c r="B6" s="9" t="s">
        <v>22</v>
      </c>
      <c r="C6" s="9" t="s">
        <v>252</v>
      </c>
      <c r="D6" s="8" t="s">
        <v>24</v>
      </c>
      <c r="E6" s="8" t="s">
        <v>8</v>
      </c>
      <c r="F6" s="8" t="s">
        <v>25</v>
      </c>
      <c r="G6" s="9" t="s">
        <v>26</v>
      </c>
      <c r="H6" s="9" t="s">
        <v>254</v>
      </c>
      <c r="I6" s="8" t="s">
        <v>28</v>
      </c>
      <c r="J6" s="8" t="s">
        <v>183</v>
      </c>
      <c r="K6" s="10" t="s">
        <v>30</v>
      </c>
      <c r="L6" s="9" t="s">
        <v>35</v>
      </c>
    </row>
    <row r="7">
      <c r="A7" s="6" t="s">
        <v>67</v>
      </c>
      <c r="B7" s="7"/>
      <c r="C7" s="7"/>
      <c r="D7" s="7"/>
      <c r="E7" s="7"/>
      <c r="F7" s="7"/>
      <c r="G7" s="7"/>
      <c r="H7" s="7"/>
      <c r="I7" s="7"/>
      <c r="J7" s="7"/>
      <c r="K7" s="7"/>
      <c r="L7" s="7"/>
    </row>
    <row r="8">
      <c r="A8" s="8">
        <v>2.0</v>
      </c>
      <c r="B8" s="9" t="s">
        <v>70</v>
      </c>
      <c r="C8" s="9" t="s">
        <v>263</v>
      </c>
      <c r="D8" s="8" t="s">
        <v>47</v>
      </c>
      <c r="E8" s="8" t="s">
        <v>8</v>
      </c>
      <c r="F8" s="8" t="s">
        <v>58</v>
      </c>
      <c r="G8" s="9" t="s">
        <v>50</v>
      </c>
      <c r="H8" s="9" t="s">
        <v>266</v>
      </c>
      <c r="I8" s="8" t="s">
        <v>42</v>
      </c>
      <c r="J8" s="8" t="s">
        <v>74</v>
      </c>
      <c r="K8" s="10" t="s">
        <v>30</v>
      </c>
      <c r="L8" s="9"/>
    </row>
    <row r="9">
      <c r="A9" s="8">
        <v>3.0</v>
      </c>
      <c r="B9" s="9" t="s">
        <v>274</v>
      </c>
      <c r="C9" s="9" t="s">
        <v>275</v>
      </c>
      <c r="D9" s="8" t="s">
        <v>124</v>
      </c>
      <c r="E9" s="8" t="s">
        <v>8</v>
      </c>
      <c r="F9" s="8" t="s">
        <v>281</v>
      </c>
      <c r="G9" s="9" t="s">
        <v>50</v>
      </c>
      <c r="H9" s="9" t="s">
        <v>283</v>
      </c>
      <c r="I9" s="8" t="s">
        <v>42</v>
      </c>
      <c r="J9" s="8" t="s">
        <v>74</v>
      </c>
      <c r="K9" s="10" t="s">
        <v>30</v>
      </c>
      <c r="L9" s="9" t="s">
        <v>287</v>
      </c>
    </row>
    <row r="10">
      <c r="A10" s="8">
        <v>4.0</v>
      </c>
      <c r="B10" s="9" t="s">
        <v>232</v>
      </c>
      <c r="C10" s="9" t="s">
        <v>288</v>
      </c>
      <c r="D10" s="8" t="s">
        <v>234</v>
      </c>
      <c r="E10" s="8" t="s">
        <v>8</v>
      </c>
      <c r="F10" s="8" t="s">
        <v>235</v>
      </c>
      <c r="G10" s="9" t="s">
        <v>289</v>
      </c>
      <c r="H10" s="9" t="s">
        <v>290</v>
      </c>
      <c r="I10" s="8" t="s">
        <v>134</v>
      </c>
      <c r="J10" s="8" t="s">
        <v>74</v>
      </c>
      <c r="K10" s="10" t="s">
        <v>30</v>
      </c>
      <c r="L10" s="9"/>
    </row>
    <row r="11">
      <c r="A11" s="8">
        <v>5.0</v>
      </c>
      <c r="B11" s="9" t="s">
        <v>232</v>
      </c>
      <c r="C11" s="9" t="s">
        <v>295</v>
      </c>
      <c r="D11" s="8" t="s">
        <v>234</v>
      </c>
      <c r="E11" s="8" t="s">
        <v>8</v>
      </c>
      <c r="F11" s="8" t="s">
        <v>235</v>
      </c>
      <c r="G11" s="9" t="s">
        <v>296</v>
      </c>
      <c r="H11" s="9" t="s">
        <v>297</v>
      </c>
      <c r="I11" s="8" t="s">
        <v>134</v>
      </c>
      <c r="J11" s="8" t="s">
        <v>74</v>
      </c>
      <c r="K11" s="10" t="s">
        <v>30</v>
      </c>
      <c r="L11" s="9"/>
    </row>
    <row r="12">
      <c r="A12" s="8">
        <v>6.0</v>
      </c>
      <c r="B12" s="9" t="s">
        <v>301</v>
      </c>
      <c r="C12" s="9" t="s">
        <v>302</v>
      </c>
      <c r="D12" s="8" t="s">
        <v>303</v>
      </c>
      <c r="E12" s="8" t="s">
        <v>8</v>
      </c>
      <c r="F12" s="8" t="s">
        <v>235</v>
      </c>
      <c r="G12" s="9" t="s">
        <v>304</v>
      </c>
      <c r="H12" s="9" t="s">
        <v>305</v>
      </c>
      <c r="I12" s="8" t="s">
        <v>134</v>
      </c>
      <c r="J12" s="8" t="s">
        <v>74</v>
      </c>
      <c r="K12" s="10" t="s">
        <v>30</v>
      </c>
      <c r="L12" s="9"/>
    </row>
    <row r="13">
      <c r="A13" s="6" t="s">
        <v>137</v>
      </c>
      <c r="B13" s="7"/>
      <c r="C13" s="7"/>
      <c r="D13" s="7"/>
      <c r="E13" s="7"/>
      <c r="F13" s="7"/>
      <c r="G13" s="7"/>
      <c r="H13" s="7"/>
      <c r="I13" s="7"/>
      <c r="J13" s="7"/>
      <c r="K13" s="7"/>
      <c r="L13" s="7"/>
    </row>
    <row r="14">
      <c r="A14" s="8">
        <v>7.0</v>
      </c>
      <c r="B14" s="9" t="s">
        <v>159</v>
      </c>
      <c r="C14" s="9" t="s">
        <v>312</v>
      </c>
      <c r="D14" s="8" t="s">
        <v>170</v>
      </c>
      <c r="E14" s="8" t="s">
        <v>8</v>
      </c>
      <c r="F14" s="8" t="s">
        <v>63</v>
      </c>
      <c r="G14" s="9" t="s">
        <v>50</v>
      </c>
      <c r="H14" s="9" t="s">
        <v>313</v>
      </c>
      <c r="I14" s="8" t="s">
        <v>165</v>
      </c>
      <c r="J14" s="8" t="s">
        <v>74</v>
      </c>
      <c r="K14" s="10" t="s">
        <v>30</v>
      </c>
      <c r="L14" s="9"/>
    </row>
    <row r="15">
      <c r="A15" s="8">
        <v>8.0</v>
      </c>
      <c r="B15" s="9" t="s">
        <v>321</v>
      </c>
      <c r="C15" s="9" t="s">
        <v>322</v>
      </c>
      <c r="D15" s="8" t="s">
        <v>124</v>
      </c>
      <c r="E15" s="8" t="s">
        <v>8</v>
      </c>
      <c r="F15" s="8" t="s">
        <v>58</v>
      </c>
      <c r="G15" s="9" t="s">
        <v>50</v>
      </c>
      <c r="H15" s="9" t="s">
        <v>323</v>
      </c>
      <c r="I15" s="8" t="s">
        <v>42</v>
      </c>
      <c r="J15" s="8" t="s">
        <v>324</v>
      </c>
      <c r="K15" s="10" t="s">
        <v>30</v>
      </c>
      <c r="L15" s="9"/>
    </row>
    <row r="16">
      <c r="A16" s="8">
        <v>9.0</v>
      </c>
      <c r="B16" s="9" t="s">
        <v>148</v>
      </c>
      <c r="C16" s="9" t="s">
        <v>325</v>
      </c>
      <c r="D16" s="8" t="s">
        <v>124</v>
      </c>
      <c r="E16" s="8" t="s">
        <v>8</v>
      </c>
      <c r="F16" s="8" t="s">
        <v>328</v>
      </c>
      <c r="G16" s="9" t="s">
        <v>155</v>
      </c>
      <c r="H16" s="9" t="s">
        <v>330</v>
      </c>
      <c r="I16" s="8" t="s">
        <v>42</v>
      </c>
      <c r="J16" s="8" t="s">
        <v>229</v>
      </c>
      <c r="K16" s="10" t="s">
        <v>30</v>
      </c>
      <c r="L16" s="9"/>
    </row>
    <row r="17">
      <c r="A17" s="8">
        <v>10.0</v>
      </c>
      <c r="B17" s="9" t="s">
        <v>339</v>
      </c>
      <c r="C17" s="9" t="s">
        <v>340</v>
      </c>
      <c r="D17" s="8" t="s">
        <v>124</v>
      </c>
      <c r="E17" s="8" t="s">
        <v>8</v>
      </c>
      <c r="F17" s="8" t="s">
        <v>58</v>
      </c>
      <c r="G17" s="9" t="s">
        <v>50</v>
      </c>
      <c r="H17" s="9" t="s">
        <v>341</v>
      </c>
      <c r="I17" s="8" t="s">
        <v>42</v>
      </c>
      <c r="J17" s="8" t="s">
        <v>342</v>
      </c>
      <c r="K17" s="10" t="s">
        <v>30</v>
      </c>
      <c r="L17" s="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L$17"/>
  <conditionalFormatting sqref="E5:E17">
    <cfRule type="expression" dxfId="0" priority="1">
      <formula>LEFT($E5,4)="Open"</formula>
    </cfRule>
  </conditionalFormatting>
  <conditionalFormatting sqref="E5:E17">
    <cfRule type="expression" dxfId="1" priority="2">
      <formula>LEFT($E5,5)="Check"</formula>
    </cfRule>
  </conditionalFormatting>
  <hyperlinks>
    <hyperlink r:id="rId1" ref="K6"/>
    <hyperlink r:id="rId2" ref="K8"/>
    <hyperlink r:id="rId3" ref="K9"/>
    <hyperlink r:id="rId4" ref="K10"/>
    <hyperlink r:id="rId5" ref="K11"/>
    <hyperlink r:id="rId6" ref="K12"/>
    <hyperlink r:id="rId7" ref="K14"/>
    <hyperlink r:id="rId8" ref="K15"/>
    <hyperlink r:id="rId9" ref="K16"/>
    <hyperlink r:id="rId10" ref="K17"/>
  </hyperlinks>
  <printOptions/>
  <pageMargins bottom="1.0" footer="0.0" header="0.0" left="0.75" right="0.75" top="1.0"/>
  <pageSetup fitToHeight="0" orientation="landscape"/>
  <drawing r:id="rId1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4.43" defaultRowHeight="15.0"/>
  <cols>
    <col customWidth="1" min="1" max="1" width="5.0"/>
    <col customWidth="1" min="2" max="2" width="28.0"/>
    <col customWidth="1" min="3" max="3" width="40.0"/>
    <col customWidth="1" min="4" max="5" width="22.0"/>
    <col customWidth="1" min="6" max="6" width="14.0"/>
    <col customWidth="1" min="7" max="7" width="20.0"/>
    <col customWidth="1" min="8" max="8" width="44.0"/>
    <col customWidth="1" min="9" max="9" width="11.0"/>
    <col customWidth="1" min="10" max="10" width="10.0"/>
    <col customWidth="1" min="11" max="11" width="11.0"/>
    <col customWidth="1" min="12" max="12" width="38.0"/>
    <col customWidth="1" min="13" max="26" width="8.71"/>
  </cols>
  <sheetData>
    <row r="1">
      <c r="A1" s="1" t="s">
        <v>253</v>
      </c>
    </row>
    <row r="2">
      <c r="A2" s="3" t="s">
        <v>2</v>
      </c>
    </row>
    <row r="4" ht="25.5" customHeight="1">
      <c r="A4" s="5" t="s">
        <v>4</v>
      </c>
      <c r="B4" s="5" t="s">
        <v>6</v>
      </c>
      <c r="C4" s="5" t="s">
        <v>7</v>
      </c>
      <c r="D4" s="5" t="s">
        <v>9</v>
      </c>
      <c r="E4" s="5" t="s">
        <v>11</v>
      </c>
      <c r="F4" s="5" t="s">
        <v>12</v>
      </c>
      <c r="G4" s="5" t="s">
        <v>14</v>
      </c>
      <c r="H4" s="5" t="s">
        <v>15</v>
      </c>
      <c r="I4" s="5" t="s">
        <v>17</v>
      </c>
      <c r="J4" s="5" t="s">
        <v>18</v>
      </c>
      <c r="K4" s="5" t="s">
        <v>19</v>
      </c>
      <c r="L4" s="5" t="s">
        <v>20</v>
      </c>
    </row>
    <row r="5">
      <c r="A5" s="6" t="s">
        <v>21</v>
      </c>
      <c r="B5" s="7"/>
      <c r="C5" s="7"/>
      <c r="D5" s="7"/>
      <c r="E5" s="7"/>
      <c r="F5" s="7"/>
      <c r="G5" s="7"/>
      <c r="H5" s="7"/>
      <c r="I5" s="7"/>
      <c r="J5" s="7"/>
      <c r="K5" s="7"/>
      <c r="L5" s="7"/>
    </row>
    <row r="6">
      <c r="A6" s="8">
        <v>1.0</v>
      </c>
      <c r="B6" s="9" t="s">
        <v>262</v>
      </c>
      <c r="C6" s="9" t="s">
        <v>264</v>
      </c>
      <c r="D6" s="8" t="s">
        <v>103</v>
      </c>
      <c r="E6" s="8" t="s">
        <v>8</v>
      </c>
      <c r="F6" s="8" t="s">
        <v>207</v>
      </c>
      <c r="G6" s="9" t="s">
        <v>265</v>
      </c>
      <c r="H6" s="9" t="s">
        <v>267</v>
      </c>
      <c r="I6" s="8" t="s">
        <v>42</v>
      </c>
      <c r="J6" s="8" t="s">
        <v>268</v>
      </c>
      <c r="K6" s="10" t="s">
        <v>30</v>
      </c>
      <c r="L6" s="9"/>
    </row>
    <row r="7">
      <c r="A7" s="8">
        <v>2.0</v>
      </c>
      <c r="B7" s="9" t="s">
        <v>272</v>
      </c>
      <c r="C7" s="9" t="s">
        <v>273</v>
      </c>
      <c r="D7" s="8" t="s">
        <v>38</v>
      </c>
      <c r="E7" s="8" t="s">
        <v>8</v>
      </c>
      <c r="F7" s="8" t="s">
        <v>132</v>
      </c>
      <c r="G7" s="9" t="s">
        <v>277</v>
      </c>
      <c r="H7" s="9" t="s">
        <v>278</v>
      </c>
      <c r="I7" s="8" t="s">
        <v>42</v>
      </c>
      <c r="J7" s="8" t="s">
        <v>280</v>
      </c>
      <c r="K7" s="10" t="s">
        <v>30</v>
      </c>
      <c r="L7" s="9"/>
    </row>
    <row r="8">
      <c r="A8" s="8">
        <v>3.0</v>
      </c>
      <c r="B8" s="9" t="s">
        <v>36</v>
      </c>
      <c r="C8" s="9" t="s">
        <v>284</v>
      </c>
      <c r="D8" s="8" t="s">
        <v>38</v>
      </c>
      <c r="E8" s="8" t="s">
        <v>8</v>
      </c>
      <c r="F8" s="8" t="s">
        <v>207</v>
      </c>
      <c r="G8" s="9" t="s">
        <v>285</v>
      </c>
      <c r="H8" s="9" t="s">
        <v>286</v>
      </c>
      <c r="I8" s="8" t="s">
        <v>42</v>
      </c>
      <c r="J8" s="8" t="s">
        <v>210</v>
      </c>
      <c r="K8" s="10" t="s">
        <v>30</v>
      </c>
      <c r="L8" s="9"/>
    </row>
    <row r="9">
      <c r="A9" s="8">
        <v>4.0</v>
      </c>
      <c r="B9" s="9" t="s">
        <v>291</v>
      </c>
      <c r="C9" s="9" t="s">
        <v>292</v>
      </c>
      <c r="D9" s="8" t="s">
        <v>38</v>
      </c>
      <c r="E9" s="8" t="s">
        <v>8</v>
      </c>
      <c r="F9" s="8" t="s">
        <v>58</v>
      </c>
      <c r="G9" s="9" t="s">
        <v>293</v>
      </c>
      <c r="H9" s="9" t="s">
        <v>294</v>
      </c>
      <c r="I9" s="8" t="s">
        <v>42</v>
      </c>
      <c r="J9" s="8" t="s">
        <v>210</v>
      </c>
      <c r="K9" s="10" t="s">
        <v>30</v>
      </c>
      <c r="L9" s="9"/>
    </row>
    <row r="10">
      <c r="A10" s="8">
        <v>5.0</v>
      </c>
      <c r="B10" s="9" t="s">
        <v>298</v>
      </c>
      <c r="C10" s="9" t="s">
        <v>299</v>
      </c>
      <c r="D10" s="8" t="s">
        <v>47</v>
      </c>
      <c r="E10" s="8" t="s">
        <v>8</v>
      </c>
      <c r="F10" s="8" t="s">
        <v>63</v>
      </c>
      <c r="G10" s="9" t="s">
        <v>50</v>
      </c>
      <c r="H10" s="9" t="s">
        <v>300</v>
      </c>
      <c r="I10" s="8" t="s">
        <v>42</v>
      </c>
      <c r="J10" s="8" t="s">
        <v>52</v>
      </c>
      <c r="K10" s="10" t="s">
        <v>30</v>
      </c>
      <c r="L10" s="9" t="s">
        <v>306</v>
      </c>
    </row>
    <row r="11">
      <c r="A11" s="8">
        <v>6.0</v>
      </c>
      <c r="B11" s="9" t="s">
        <v>307</v>
      </c>
      <c r="C11" s="9" t="s">
        <v>308</v>
      </c>
      <c r="D11" s="8" t="s">
        <v>309</v>
      </c>
      <c r="E11" s="8" t="s">
        <v>8</v>
      </c>
      <c r="F11" s="8" t="s">
        <v>58</v>
      </c>
      <c r="G11" s="9" t="s">
        <v>310</v>
      </c>
      <c r="H11" s="9" t="s">
        <v>311</v>
      </c>
      <c r="I11" s="8" t="s">
        <v>28</v>
      </c>
      <c r="J11" s="8" t="s">
        <v>183</v>
      </c>
      <c r="K11" s="10" t="s">
        <v>30</v>
      </c>
      <c r="L11" s="9" t="s">
        <v>314</v>
      </c>
    </row>
    <row r="12">
      <c r="A12" s="8">
        <v>7.0</v>
      </c>
      <c r="B12" s="9" t="s">
        <v>315</v>
      </c>
      <c r="C12" s="9" t="s">
        <v>316</v>
      </c>
      <c r="D12" s="8" t="s">
        <v>317</v>
      </c>
      <c r="E12" s="8" t="s">
        <v>8</v>
      </c>
      <c r="F12" s="8" t="s">
        <v>318</v>
      </c>
      <c r="G12" s="9" t="s">
        <v>319</v>
      </c>
      <c r="H12" s="9" t="s">
        <v>320</v>
      </c>
      <c r="I12" s="8" t="s">
        <v>42</v>
      </c>
      <c r="J12" s="8" t="s">
        <v>74</v>
      </c>
      <c r="K12" s="10" t="s">
        <v>30</v>
      </c>
      <c r="L12" s="9"/>
    </row>
    <row r="13">
      <c r="A13" s="6" t="s">
        <v>67</v>
      </c>
      <c r="B13" s="7"/>
      <c r="C13" s="7"/>
      <c r="D13" s="7"/>
      <c r="E13" s="7"/>
      <c r="F13" s="7"/>
      <c r="G13" s="7"/>
      <c r="H13" s="7"/>
      <c r="I13" s="7"/>
      <c r="J13" s="7"/>
      <c r="K13" s="7"/>
      <c r="L13" s="7"/>
    </row>
    <row r="14">
      <c r="A14" s="8">
        <v>8.0</v>
      </c>
      <c r="B14" s="9" t="s">
        <v>326</v>
      </c>
      <c r="C14" s="9" t="s">
        <v>327</v>
      </c>
      <c r="D14" s="8" t="s">
        <v>329</v>
      </c>
      <c r="E14" s="8" t="s">
        <v>8</v>
      </c>
      <c r="F14" s="8" t="s">
        <v>125</v>
      </c>
      <c r="G14" s="9" t="s">
        <v>50</v>
      </c>
      <c r="H14" s="9" t="s">
        <v>331</v>
      </c>
      <c r="I14" s="8" t="s">
        <v>134</v>
      </c>
      <c r="J14" s="8" t="s">
        <v>229</v>
      </c>
      <c r="K14" s="10" t="s">
        <v>30</v>
      </c>
      <c r="L14" s="9" t="s">
        <v>332</v>
      </c>
    </row>
    <row r="15">
      <c r="A15" s="8">
        <v>9.0</v>
      </c>
      <c r="B15" s="9" t="s">
        <v>333</v>
      </c>
      <c r="C15" s="9" t="s">
        <v>334</v>
      </c>
      <c r="D15" s="8" t="s">
        <v>335</v>
      </c>
      <c r="E15" s="8" t="s">
        <v>8</v>
      </c>
      <c r="F15" s="8" t="s">
        <v>63</v>
      </c>
      <c r="G15" s="9" t="s">
        <v>336</v>
      </c>
      <c r="H15" s="9" t="s">
        <v>337</v>
      </c>
      <c r="I15" s="8" t="s">
        <v>228</v>
      </c>
      <c r="J15" s="8" t="s">
        <v>338</v>
      </c>
      <c r="K15" s="10" t="s">
        <v>30</v>
      </c>
      <c r="L15" s="9" t="s">
        <v>343</v>
      </c>
    </row>
    <row r="16">
      <c r="A16" s="8">
        <v>10.0</v>
      </c>
      <c r="B16" s="9" t="s">
        <v>345</v>
      </c>
      <c r="C16" s="9" t="s">
        <v>346</v>
      </c>
      <c r="D16" s="8" t="s">
        <v>347</v>
      </c>
      <c r="E16" s="8" t="s">
        <v>8</v>
      </c>
      <c r="F16" s="8" t="s">
        <v>58</v>
      </c>
      <c r="G16" s="9" t="s">
        <v>50</v>
      </c>
      <c r="H16" s="9" t="s">
        <v>348</v>
      </c>
      <c r="I16" s="8" t="s">
        <v>134</v>
      </c>
      <c r="J16" s="8" t="s">
        <v>350</v>
      </c>
      <c r="K16" s="10" t="s">
        <v>30</v>
      </c>
      <c r="L16" s="9" t="s">
        <v>355</v>
      </c>
    </row>
    <row r="17">
      <c r="A17" s="8">
        <v>11.0</v>
      </c>
      <c r="B17" s="9" t="s">
        <v>356</v>
      </c>
      <c r="C17" s="9" t="s">
        <v>357</v>
      </c>
      <c r="D17" s="8" t="s">
        <v>225</v>
      </c>
      <c r="E17" s="8" t="s">
        <v>8</v>
      </c>
      <c r="F17" s="8" t="s">
        <v>359</v>
      </c>
      <c r="G17" s="9" t="s">
        <v>50</v>
      </c>
      <c r="H17" s="9" t="s">
        <v>360</v>
      </c>
      <c r="I17" s="8" t="s">
        <v>228</v>
      </c>
      <c r="J17" s="8" t="s">
        <v>229</v>
      </c>
      <c r="K17" s="10" t="s">
        <v>30</v>
      </c>
      <c r="L17" s="9"/>
    </row>
    <row r="18">
      <c r="A18" s="8">
        <v>12.0</v>
      </c>
      <c r="B18" s="9" t="s">
        <v>232</v>
      </c>
      <c r="C18" s="9" t="s">
        <v>365</v>
      </c>
      <c r="D18" s="8" t="s">
        <v>234</v>
      </c>
      <c r="E18" s="8" t="s">
        <v>8</v>
      </c>
      <c r="F18" s="8" t="s">
        <v>219</v>
      </c>
      <c r="G18" s="9" t="s">
        <v>366</v>
      </c>
      <c r="H18" s="9" t="s">
        <v>290</v>
      </c>
      <c r="I18" s="8" t="s">
        <v>134</v>
      </c>
      <c r="J18" s="8" t="s">
        <v>74</v>
      </c>
      <c r="K18" s="10" t="s">
        <v>30</v>
      </c>
      <c r="L18" s="9"/>
    </row>
    <row r="19">
      <c r="A19" s="6" t="s">
        <v>137</v>
      </c>
      <c r="B19" s="7"/>
      <c r="C19" s="7"/>
      <c r="D19" s="7"/>
      <c r="E19" s="7"/>
      <c r="F19" s="7"/>
      <c r="G19" s="7"/>
      <c r="H19" s="7"/>
      <c r="I19" s="7"/>
      <c r="J19" s="7"/>
      <c r="K19" s="7"/>
      <c r="L19" s="7"/>
    </row>
    <row r="20">
      <c r="A20" s="8">
        <v>13.0</v>
      </c>
      <c r="B20" s="9" t="s">
        <v>249</v>
      </c>
      <c r="C20" s="9" t="s">
        <v>372</v>
      </c>
      <c r="D20" s="8" t="s">
        <v>373</v>
      </c>
      <c r="E20" s="8" t="s">
        <v>8</v>
      </c>
      <c r="F20" s="8" t="s">
        <v>374</v>
      </c>
      <c r="G20" s="9" t="s">
        <v>50</v>
      </c>
      <c r="H20" s="9" t="s">
        <v>376</v>
      </c>
      <c r="I20" s="8" t="s">
        <v>228</v>
      </c>
      <c r="J20" s="8" t="s">
        <v>377</v>
      </c>
      <c r="K20" s="10" t="s">
        <v>30</v>
      </c>
      <c r="L20" s="9" t="s">
        <v>383</v>
      </c>
    </row>
    <row r="21" ht="15.75" customHeight="1">
      <c r="A21" s="8">
        <v>14.0</v>
      </c>
      <c r="B21" s="9" t="s">
        <v>386</v>
      </c>
      <c r="C21" s="9" t="s">
        <v>387</v>
      </c>
      <c r="D21" s="8" t="s">
        <v>388</v>
      </c>
      <c r="E21" s="8" t="s">
        <v>8</v>
      </c>
      <c r="F21" s="8" t="s">
        <v>389</v>
      </c>
      <c r="G21" s="9" t="s">
        <v>50</v>
      </c>
      <c r="H21" s="9" t="s">
        <v>390</v>
      </c>
      <c r="I21" s="8" t="s">
        <v>228</v>
      </c>
      <c r="J21" s="8" t="s">
        <v>391</v>
      </c>
      <c r="K21" s="10" t="s">
        <v>30</v>
      </c>
      <c r="L21" s="9" t="s">
        <v>398</v>
      </c>
    </row>
    <row r="22" ht="15.75" customHeight="1">
      <c r="A22" s="8">
        <v>15.0</v>
      </c>
      <c r="B22" s="9" t="s">
        <v>159</v>
      </c>
      <c r="C22" s="9" t="s">
        <v>400</v>
      </c>
      <c r="D22" s="8" t="s">
        <v>170</v>
      </c>
      <c r="E22" s="8" t="s">
        <v>8</v>
      </c>
      <c r="F22" s="8" t="s">
        <v>401</v>
      </c>
      <c r="G22" s="9" t="s">
        <v>50</v>
      </c>
      <c r="H22" s="9" t="s">
        <v>402</v>
      </c>
      <c r="I22" s="8" t="s">
        <v>165</v>
      </c>
      <c r="J22" s="8" t="s">
        <v>74</v>
      </c>
      <c r="K22" s="10" t="s">
        <v>30</v>
      </c>
      <c r="L22" s="9"/>
    </row>
    <row r="23" ht="15.75" customHeight="1">
      <c r="A23" s="8">
        <v>16.0</v>
      </c>
      <c r="B23" s="9" t="s">
        <v>249</v>
      </c>
      <c r="C23" s="9" t="s">
        <v>408</v>
      </c>
      <c r="D23" s="8" t="s">
        <v>409</v>
      </c>
      <c r="E23" s="8" t="s">
        <v>8</v>
      </c>
      <c r="F23" s="8" t="s">
        <v>63</v>
      </c>
      <c r="G23" s="9" t="s">
        <v>50</v>
      </c>
      <c r="H23" s="9" t="s">
        <v>410</v>
      </c>
      <c r="I23" s="8" t="s">
        <v>228</v>
      </c>
      <c r="J23" s="8" t="s">
        <v>412</v>
      </c>
      <c r="K23" s="10" t="s">
        <v>30</v>
      </c>
      <c r="L23" s="9" t="s">
        <v>419</v>
      </c>
    </row>
    <row r="24" ht="15.75" customHeight="1">
      <c r="A24" s="8">
        <v>17.0</v>
      </c>
      <c r="B24" s="9" t="s">
        <v>422</v>
      </c>
      <c r="C24" s="9" t="s">
        <v>423</v>
      </c>
      <c r="D24" s="8" t="s">
        <v>424</v>
      </c>
      <c r="E24" s="8" t="s">
        <v>8</v>
      </c>
      <c r="F24" s="8" t="s">
        <v>425</v>
      </c>
      <c r="G24" s="9" t="s">
        <v>50</v>
      </c>
      <c r="H24" s="9" t="s">
        <v>426</v>
      </c>
      <c r="I24" s="8" t="s">
        <v>228</v>
      </c>
      <c r="J24" s="8" t="s">
        <v>427</v>
      </c>
      <c r="K24" s="10" t="s">
        <v>30</v>
      </c>
      <c r="L24" s="9"/>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L$24"/>
  <conditionalFormatting sqref="E5:E24">
    <cfRule type="expression" dxfId="0" priority="1">
      <formula>LEFT($E5,4)="Open"</formula>
    </cfRule>
  </conditionalFormatting>
  <conditionalFormatting sqref="E5:E24">
    <cfRule type="expression" dxfId="1" priority="2">
      <formula>LEFT($E5,5)="Check"</formula>
    </cfRule>
  </conditionalFormatting>
  <hyperlinks>
    <hyperlink r:id="rId1" ref="K6"/>
    <hyperlink r:id="rId2" ref="K7"/>
    <hyperlink r:id="rId3" ref="K8"/>
    <hyperlink r:id="rId4" ref="K9"/>
    <hyperlink r:id="rId5" ref="K10"/>
    <hyperlink r:id="rId6" ref="K11"/>
    <hyperlink r:id="rId7" ref="K12"/>
    <hyperlink r:id="rId8" ref="K14"/>
    <hyperlink r:id="rId9" ref="K15"/>
    <hyperlink r:id="rId10" ref="K16"/>
    <hyperlink r:id="rId11" ref="K17"/>
    <hyperlink r:id="rId12" ref="K18"/>
    <hyperlink r:id="rId13" ref="K20"/>
    <hyperlink r:id="rId14" ref="K21"/>
    <hyperlink r:id="rId15" ref="K22"/>
    <hyperlink r:id="rId16" ref="K23"/>
    <hyperlink r:id="rId17" ref="K24"/>
  </hyperlinks>
  <printOptions/>
  <pageMargins bottom="1.0" footer="0.0" header="0.0" left="0.75" right="0.75" top="1.0"/>
  <pageSetup fitToHeight="0" orientation="landscape"/>
  <drawing r:id="rId1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4.43" defaultRowHeight="15.0"/>
  <cols>
    <col customWidth="1" min="1" max="1" width="5.0"/>
    <col customWidth="1" min="2" max="2" width="20.0"/>
    <col customWidth="1" min="3" max="3" width="48.0"/>
    <col customWidth="1" min="4" max="4" width="20.0"/>
    <col customWidth="1" min="5" max="6" width="10.0"/>
    <col customWidth="1" min="7" max="7" width="16.0"/>
    <col customWidth="1" min="8" max="8" width="44.0"/>
    <col customWidth="1" min="9" max="26" width="8.71"/>
  </cols>
  <sheetData>
    <row r="1">
      <c r="A1" s="1" t="s">
        <v>344</v>
      </c>
    </row>
    <row r="2">
      <c r="A2" s="3" t="s">
        <v>349</v>
      </c>
    </row>
    <row r="4" ht="25.5" customHeight="1">
      <c r="A4" s="5" t="s">
        <v>4</v>
      </c>
      <c r="B4" s="5" t="s">
        <v>351</v>
      </c>
      <c r="C4" s="5" t="s">
        <v>7</v>
      </c>
      <c r="D4" s="5" t="s">
        <v>352</v>
      </c>
      <c r="E4" s="5" t="s">
        <v>353</v>
      </c>
      <c r="F4" s="5" t="s">
        <v>18</v>
      </c>
      <c r="G4" s="5" t="s">
        <v>354</v>
      </c>
      <c r="H4" s="5" t="s">
        <v>20</v>
      </c>
    </row>
    <row r="5">
      <c r="A5" s="6" t="s">
        <v>358</v>
      </c>
      <c r="B5" s="7"/>
      <c r="C5" s="7"/>
      <c r="D5" s="7"/>
      <c r="E5" s="7"/>
      <c r="F5" s="7"/>
      <c r="G5" s="7"/>
      <c r="H5" s="7"/>
    </row>
    <row r="6">
      <c r="A6" s="8">
        <v>1.0</v>
      </c>
      <c r="B6" s="8" t="s">
        <v>361</v>
      </c>
      <c r="C6" s="9" t="s">
        <v>362</v>
      </c>
      <c r="D6" s="8" t="s">
        <v>363</v>
      </c>
      <c r="E6" s="8" t="s">
        <v>364</v>
      </c>
      <c r="F6" s="8" t="s">
        <v>350</v>
      </c>
      <c r="G6" s="10" t="s">
        <v>30</v>
      </c>
      <c r="H6" s="9" t="s">
        <v>367</v>
      </c>
    </row>
    <row r="7">
      <c r="A7" s="8">
        <v>2.0</v>
      </c>
      <c r="B7" s="8" t="s">
        <v>361</v>
      </c>
      <c r="C7" s="9" t="s">
        <v>368</v>
      </c>
      <c r="D7" s="8" t="s">
        <v>369</v>
      </c>
      <c r="E7" s="8" t="s">
        <v>370</v>
      </c>
      <c r="F7" s="8" t="s">
        <v>350</v>
      </c>
      <c r="G7" s="10" t="s">
        <v>30</v>
      </c>
      <c r="H7" s="9" t="s">
        <v>371</v>
      </c>
    </row>
    <row r="8">
      <c r="A8" s="8">
        <v>3.0</v>
      </c>
      <c r="B8" s="8" t="s">
        <v>361</v>
      </c>
      <c r="C8" s="9" t="s">
        <v>375</v>
      </c>
      <c r="D8" s="8" t="s">
        <v>369</v>
      </c>
      <c r="E8" s="8" t="s">
        <v>370</v>
      </c>
      <c r="F8" s="8" t="s">
        <v>350</v>
      </c>
      <c r="G8" s="10" t="s">
        <v>30</v>
      </c>
      <c r="H8" s="9" t="s">
        <v>371</v>
      </c>
    </row>
    <row r="9">
      <c r="A9" s="8">
        <v>4.0</v>
      </c>
      <c r="B9" s="8" t="s">
        <v>361</v>
      </c>
      <c r="C9" s="9" t="s">
        <v>378</v>
      </c>
      <c r="D9" s="8" t="s">
        <v>379</v>
      </c>
      <c r="E9" s="8" t="s">
        <v>380</v>
      </c>
      <c r="F9" s="8" t="s">
        <v>350</v>
      </c>
      <c r="G9" s="10" t="s">
        <v>30</v>
      </c>
      <c r="H9" s="9" t="s">
        <v>371</v>
      </c>
    </row>
    <row r="10">
      <c r="A10" s="8">
        <v>5.0</v>
      </c>
      <c r="B10" s="8" t="s">
        <v>361</v>
      </c>
      <c r="C10" s="9" t="s">
        <v>381</v>
      </c>
      <c r="D10" s="8" t="s">
        <v>382</v>
      </c>
      <c r="E10" s="8" t="s">
        <v>380</v>
      </c>
      <c r="F10" s="8" t="s">
        <v>350</v>
      </c>
      <c r="G10" s="10" t="s">
        <v>30</v>
      </c>
      <c r="H10" s="9" t="s">
        <v>384</v>
      </c>
    </row>
    <row r="11">
      <c r="A11" s="6" t="s">
        <v>385</v>
      </c>
      <c r="B11" s="7"/>
      <c r="C11" s="7"/>
      <c r="D11" s="7"/>
      <c r="E11" s="7"/>
      <c r="F11" s="7"/>
      <c r="G11" s="7"/>
      <c r="H11" s="7"/>
    </row>
    <row r="12">
      <c r="A12" s="8">
        <v>6.0</v>
      </c>
      <c r="B12" s="8" t="s">
        <v>392</v>
      </c>
      <c r="C12" s="9" t="s">
        <v>393</v>
      </c>
      <c r="D12" s="8" t="s">
        <v>394</v>
      </c>
      <c r="E12" s="8" t="s">
        <v>395</v>
      </c>
      <c r="F12" s="8" t="s">
        <v>396</v>
      </c>
      <c r="G12" s="10" t="s">
        <v>30</v>
      </c>
      <c r="H12" s="9" t="s">
        <v>371</v>
      </c>
    </row>
    <row r="13">
      <c r="A13" s="8">
        <v>7.0</v>
      </c>
      <c r="B13" s="8" t="s">
        <v>392</v>
      </c>
      <c r="C13" s="9" t="s">
        <v>397</v>
      </c>
      <c r="D13" s="8" t="s">
        <v>394</v>
      </c>
      <c r="E13" s="8" t="s">
        <v>395</v>
      </c>
      <c r="F13" s="8" t="s">
        <v>396</v>
      </c>
      <c r="G13" s="10" t="s">
        <v>30</v>
      </c>
      <c r="H13" s="9" t="s">
        <v>371</v>
      </c>
    </row>
    <row r="14">
      <c r="A14" s="6" t="s">
        <v>399</v>
      </c>
      <c r="B14" s="7"/>
      <c r="C14" s="7"/>
      <c r="D14" s="7"/>
      <c r="E14" s="7"/>
      <c r="F14" s="7"/>
      <c r="G14" s="7"/>
      <c r="H14" s="7"/>
    </row>
    <row r="15">
      <c r="A15" s="8">
        <v>8.0</v>
      </c>
      <c r="B15" s="8" t="s">
        <v>403</v>
      </c>
      <c r="C15" s="9" t="s">
        <v>404</v>
      </c>
      <c r="D15" s="8" t="s">
        <v>405</v>
      </c>
      <c r="E15" s="8" t="s">
        <v>406</v>
      </c>
      <c r="F15" s="8" t="s">
        <v>396</v>
      </c>
      <c r="G15" s="10" t="s">
        <v>30</v>
      </c>
      <c r="H15" s="9" t="s">
        <v>371</v>
      </c>
    </row>
    <row r="16">
      <c r="A16" s="6" t="s">
        <v>407</v>
      </c>
      <c r="B16" s="7"/>
      <c r="C16" s="7"/>
      <c r="D16" s="7"/>
      <c r="E16" s="7"/>
      <c r="F16" s="7"/>
      <c r="G16" s="7"/>
      <c r="H16" s="7"/>
    </row>
    <row r="17">
      <c r="A17" s="8">
        <v>9.0</v>
      </c>
      <c r="B17" s="8" t="s">
        <v>411</v>
      </c>
      <c r="C17" s="9" t="s">
        <v>413</v>
      </c>
      <c r="D17" s="8" t="s">
        <v>414</v>
      </c>
      <c r="E17" s="8" t="s">
        <v>415</v>
      </c>
      <c r="F17" s="8" t="s">
        <v>350</v>
      </c>
      <c r="G17" s="10" t="s">
        <v>30</v>
      </c>
      <c r="H17" s="9" t="s">
        <v>371</v>
      </c>
    </row>
    <row r="18">
      <c r="A18" s="8">
        <v>10.0</v>
      </c>
      <c r="B18" s="8" t="s">
        <v>411</v>
      </c>
      <c r="C18" s="9" t="s">
        <v>416</v>
      </c>
      <c r="D18" s="8" t="s">
        <v>417</v>
      </c>
      <c r="E18" s="8" t="s">
        <v>418</v>
      </c>
      <c r="F18" s="8" t="s">
        <v>350</v>
      </c>
      <c r="G18" s="10" t="s">
        <v>30</v>
      </c>
      <c r="H18" s="9" t="s">
        <v>371</v>
      </c>
    </row>
    <row r="19">
      <c r="A19" s="8">
        <v>11.0</v>
      </c>
      <c r="B19" s="8" t="s">
        <v>411</v>
      </c>
      <c r="C19" s="9" t="s">
        <v>420</v>
      </c>
      <c r="D19" s="8" t="s">
        <v>421</v>
      </c>
      <c r="E19" s="8" t="s">
        <v>406</v>
      </c>
      <c r="F19" s="8" t="s">
        <v>350</v>
      </c>
      <c r="G19" s="10" t="s">
        <v>30</v>
      </c>
      <c r="H19" s="9" t="s">
        <v>371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H$19"/>
  <hyperlinks>
    <hyperlink r:id="rId1" ref="G6"/>
    <hyperlink r:id="rId2" ref="G7"/>
    <hyperlink r:id="rId3" ref="G8"/>
    <hyperlink r:id="rId4" ref="G9"/>
    <hyperlink r:id="rId5" ref="G10"/>
    <hyperlink r:id="rId6" ref="G12"/>
    <hyperlink r:id="rId7" ref="G13"/>
    <hyperlink r:id="rId8" ref="G15"/>
    <hyperlink r:id="rId9" ref="G17"/>
    <hyperlink r:id="rId10" ref="G18"/>
    <hyperlink r:id="rId11" ref="G19"/>
  </hyperlinks>
  <printOptions/>
  <pageMargins bottom="1.0" footer="0.0" header="0.0" left="0.75" right="0.75" top="1.0"/>
  <pageSetup fitToHeight="0" orientation="landscape"/>
  <drawing r:id="rId12"/>
</worksheet>
</file>