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Support" sheetId="2" state="visible" r:id="rId4"/>
    <sheet name="Sales &amp; Marketing" sheetId="3" state="visible" r:id="rId5"/>
    <sheet name="Creative &amp; Content" sheetId="4" state="visible" r:id="rId6"/>
    <sheet name="Data &amp; Tech" sheetId="5" state="visible" r:id="rId7"/>
    <sheet name="HR &amp; Legal" sheetId="6" state="visible" r:id="rId8"/>
    <sheet name="micro1 Referral" sheetId="7" state="visible" r:id="rId9"/>
  </sheets>
  <definedNames>
    <definedName function="false" hidden="false" localSheetId="3" name="_xlnm.Print_Area" vbProcedure="false">'Creative &amp; Content'!$A$1:$L$6</definedName>
    <definedName function="false" hidden="true" localSheetId="3" name="_xlnm._FilterDatabase" vbProcedure="false">'Creative &amp; Content'!$A$4:$L$6</definedName>
    <definedName function="false" hidden="false" localSheetId="1" name="_xlnm.Print_Area" vbProcedure="false">'Customer Support'!$A$1:$L$11</definedName>
    <definedName function="false" hidden="true" localSheetId="1" name="_xlnm._FilterDatabase" vbProcedure="false">'Customer Support'!$A$4:$L$11</definedName>
    <definedName function="false" hidden="false" localSheetId="4" name="_xlnm.Print_Area" vbProcedure="false">'Data &amp; Tech'!$A$1:$L$15</definedName>
    <definedName function="false" hidden="true" localSheetId="4" name="_xlnm._FilterDatabase" vbProcedure="false">'Data &amp; Tech'!$A$4:$L$15</definedName>
    <definedName function="false" hidden="false" localSheetId="5" name="_xlnm.Print_Area" vbProcedure="false">'HR &amp; Legal'!$A$1:$L$8</definedName>
    <definedName function="false" hidden="true" localSheetId="5" name="_xlnm._FilterDatabase" vbProcedure="false">'HR &amp; Legal'!$A$4:$L$8</definedName>
    <definedName function="false" hidden="false" localSheetId="6" name="_xlnm.Print_Area" vbProcedure="false">'micro1 Referral'!$A$1:$H$106</definedName>
    <definedName function="false" hidden="true" localSheetId="6" name="_xlnm._FilterDatabase" vbProcedure="false">'micro1 Referral'!$A$4:$H$106</definedName>
    <definedName function="false" hidden="false" localSheetId="2" name="_xlnm.Print_Area" vbProcedure="false">'Sales &amp; Marketing'!$A$1:$L$12</definedName>
    <definedName function="false" hidden="true" localSheetId="2" name="_xlnm._FilterDatabase" vbProcedure="false">'Sales &amp; Marketing'!$A$4:$L$12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<sst xmlns="http://schemas.openxmlformats.org/spreadsheetml/2006/main" count="832" uniqueCount="347">
  <si>
    <t xml:space="preserve">ERJ Remote Job Search Sheet — Catch-up (7 Oct 2026)</t>
  </si>
  <si>
    <t xml:space="preserve">New roles across all fields since the 6 Oct sheet · company ATS pages only, no gated boards · plus your micro1 referral roles</t>
  </si>
  <si>
    <t xml:space="preserve">Tab</t>
  </si>
  <si>
    <t xml:space="preserve">Open — Nigeria eligible</t>
  </si>
  <si>
    <t xml:space="preserve">Check before applying</t>
  </si>
  <si>
    <t xml:space="preserve">Total</t>
  </si>
  <si>
    <t xml:space="preserve">Customer Support</t>
  </si>
  <si>
    <t xml:space="preserve">Sales &amp; Marketing</t>
  </si>
  <si>
    <t xml:space="preserve">Creative &amp; Content</t>
  </si>
  <si>
    <t xml:space="preserve">Data &amp; Tech</t>
  </si>
  <si>
    <t xml:space="preserve">HR &amp; Legal</t>
  </si>
  <si>
    <t xml:space="preserve">micro1 Referral</t>
  </si>
  <si>
    <t xml:space="preserve">Notes</t>
  </si>
  <si>
    <t xml:space="preserve">• micro1 rows all link to your referral page; applicants search the role title there. Language-specific roles (Korean, Japanese, Thai etc.), US/UK/Canada-licensed roles, military/DoD writing roles, and listings with obviously broken pay (e.g. "$7–8/hr" for a Head of Communications) were left out.</t>
  </si>
  <si>
    <t xml:space="preserve">• Scale Army added 4 new Nigeria-eligible marketing roles since 6 Oct; 2 more show only "Remote", so confirm Nigeria on apply.</t>
  </si>
  <si>
    <t xml:space="preserve">• Jobgether rows are posted on Lever by Jobgether on behalf of a partner company that wants someone based in Nigeria.</t>
  </si>
  <si>
    <t xml:space="preserve">• Excluded after checking: Wing Assistant (Philippines only), Evoplay support (Ukrainian required), Heidi video editor (Philippines pay), Rippling/Muck Rack (US).</t>
  </si>
  <si>
    <t xml:space="preserve">Customer Support — catch-up roles open to Nigeria (7 Oct 2026)</t>
  </si>
  <si>
    <t xml:space="preserve">From company career pages (Ashby, Greenhouse, Lever, Workable). None appear on any earlier sheet.</t>
  </si>
  <si>
    <t xml:space="preserve">#</t>
  </si>
  <si>
    <t xml:space="preserve">Who can apply</t>
  </si>
  <si>
    <t xml:space="preserve">Role</t>
  </si>
  <si>
    <t xml:space="preserve">Company</t>
  </si>
  <si>
    <t xml:space="preserve">Status</t>
  </si>
  <si>
    <t xml:space="preserve">Level</t>
  </si>
  <si>
    <t xml:space="preserve">Pay (as listed)</t>
  </si>
  <si>
    <t xml:space="preserve">Key requirements</t>
  </si>
  <si>
    <t xml:space="preserve">ATS</t>
  </si>
  <si>
    <t xml:space="preserve">Posted</t>
  </si>
  <si>
    <t xml:space="preserve">Apply link</t>
  </si>
  <si>
    <t xml:space="preserve">Note</t>
  </si>
  <si>
    <t xml:space="preserve">▸ Worldwide / global</t>
  </si>
  <si>
    <t xml:space="preserve">Remote worldwide (US East Coast hours)</t>
  </si>
  <si>
    <t xml:space="preserve">Head of Customer Success</t>
  </si>
  <si>
    <t xml:space="preserve">Bask Health</t>
  </si>
  <si>
    <t xml:space="preserve">Head</t>
  </si>
  <si>
    <t xml:space="preserve">—</t>
  </si>
  <si>
    <t xml:space="preserve">Customer success leadership; 9am–6pm ET</t>
  </si>
  <si>
    <t xml:space="preserve">Workable</t>
  </si>
  <si>
    <t xml:space="preserve">~5 Oct</t>
  </si>
  <si>
    <t xml:space="preserve">Apply ↗</t>
  </si>
  <si>
    <t xml:space="preserve">Page also lists US/Canada — confirm worldwide on apply</t>
  </si>
  <si>
    <t xml:space="preserve">Ukraine or Global (remote)</t>
  </si>
  <si>
    <t xml:space="preserve">Customer Support Representative</t>
  </si>
  <si>
    <t xml:space="preserve">SKELAR</t>
  </si>
  <si>
    <t xml:space="preserve">Entry/Mid</t>
  </si>
  <si>
    <t xml:space="preserve">English B2+; ~7 night shifts a month; communication</t>
  </si>
  <si>
    <t xml:space="preserve">Ashby</t>
  </si>
  <si>
    <t xml:space="preserve">6 Oct</t>
  </si>
  <si>
    <t xml:space="preserve">Posting written in Ukrainian — confirm Ukrainian isn't required</t>
  </si>
  <si>
    <t xml:space="preserve">Spirio (SKELAR group)</t>
  </si>
  <si>
    <t xml:space="preserve">English B2+; shift work</t>
  </si>
  <si>
    <t xml:space="preserve">Same group as SKELAR — confirm Ukrainian isn't required</t>
  </si>
  <si>
    <t xml:space="preserve">▸ Country or region list that includes Nigeria</t>
  </si>
  <si>
    <t xml:space="preserve">Living in Europe, Middle East or Africa (GMT+2 hours)</t>
  </si>
  <si>
    <t xml:space="preserve">Technical Customer Support Engineer, EMEA</t>
  </si>
  <si>
    <t xml:space="preserve">Hercules</t>
  </si>
  <si>
    <t xml:space="preserve">Mid/Senior</t>
  </si>
  <si>
    <t xml:space="preserve">$60k–120k + equity</t>
  </si>
  <si>
    <t xml:space="preserve">Technical support; GMT+2 hours; strong engineering comfort</t>
  </si>
  <si>
    <t xml:space="preserve">~2 Oct</t>
  </si>
  <si>
    <t xml:space="preserve">Nigeria (remote)</t>
  </si>
  <si>
    <t xml:space="preserve">Patient Onboarding Agent (Customer Support)</t>
  </si>
  <si>
    <t xml:space="preserve">Jobgether partner (US health)</t>
  </si>
  <si>
    <t xml:space="preserve">Entry-level</t>
  </si>
  <si>
    <t xml:space="preserve">Contractor rate</t>
  </si>
  <si>
    <t xml:space="preserve">1+ yr customer/patient support; 100+ case load; HIPAA a plus; 9am–6pm PST</t>
  </si>
  <si>
    <t xml:space="preserve">Lever</t>
  </si>
  <si>
    <t xml:space="preserve">US Pacific hours (evening/night in Nigeria)</t>
  </si>
  <si>
    <t xml:space="preserve">Sales &amp; Marketing — catch-up roles open to Nigeria (7 Oct 2026)</t>
  </si>
  <si>
    <t xml:space="preserve">Fully remote; 3+ hrs overlap with East Africa time</t>
  </si>
  <si>
    <t xml:space="preserve">Growth Manager, Paid Media</t>
  </si>
  <si>
    <t xml:space="preserve">GiveDirectly</t>
  </si>
  <si>
    <t xml:space="preserve">Manager</t>
  </si>
  <si>
    <t xml:space="preserve">$65k–100k</t>
  </si>
  <si>
    <t xml:space="preserve">3–5+ yrs paid media; $5M+ budgets; test-and-learn</t>
  </si>
  <si>
    <t xml:space="preserve">Greenhouse</t>
  </si>
  <si>
    <t xml:space="preserve">Senior Marketing Analyst</t>
  </si>
  <si>
    <t xml:space="preserve">Jobgether partner</t>
  </si>
  <si>
    <t xml:space="preserve">Senior</t>
  </si>
  <si>
    <t xml:space="preserve">SQL; A/B testing; LTV modelling</t>
  </si>
  <si>
    <t xml:space="preserve">Egypt, Argentina, Ethiopia, Nigeria, South Africa</t>
  </si>
  <si>
    <t xml:space="preserve">AI-Native Growth Marketing Strategist</t>
  </si>
  <si>
    <t xml:space="preserve">Scale Army</t>
  </si>
  <si>
    <t xml:space="preserve">See posting</t>
  </si>
  <si>
    <t xml:space="preserve">$1.7k/mo</t>
  </si>
  <si>
    <t xml:space="preserve">Contract; US business hours</t>
  </si>
  <si>
    <t xml:space="preserve">Mid-Junior PPC Specialist</t>
  </si>
  <si>
    <t xml:space="preserve">Mid-junior</t>
  </si>
  <si>
    <t xml:space="preserve">$2k–2.2k/mo</t>
  </si>
  <si>
    <t xml:space="preserve">Contract; Google/Meta PPC; US business hours</t>
  </si>
  <si>
    <t xml:space="preserve">Argentina, Egypt, Ethiopia, Jamaica, Nigeria, South Africa</t>
  </si>
  <si>
    <t xml:space="preserve">Paid Media Specialists (pool)</t>
  </si>
  <si>
    <t xml:space="preserve">Contract; paid media; US hours</t>
  </si>
  <si>
    <t xml:space="preserve">Senior E-commerce Paid Media Specialist</t>
  </si>
  <si>
    <t xml:space="preserve">$2.8k/mo</t>
  </si>
  <si>
    <t xml:space="preserve">Contract; e-commerce paid media; US business hours</t>
  </si>
  <si>
    <t xml:space="preserve">Trade &amp; Growth Marketing Manager</t>
  </si>
  <si>
    <t xml:space="preserve">$2.5k/mo</t>
  </si>
  <si>
    <t xml:space="preserve">Contract; supports US clients; US hours</t>
  </si>
  <si>
    <t xml:space="preserve">Creative &amp; Content — catch-up roles open to Nigeria (7 Oct 2026)</t>
  </si>
  <si>
    <t xml:space="preserve">Fully remote — open worldwide</t>
  </si>
  <si>
    <t xml:space="preserve">Freelance Product Designer (Fractional)</t>
  </si>
  <si>
    <t xml:space="preserve">Clera</t>
  </si>
  <si>
    <t xml:space="preserve">Product design; fractional/freelance</t>
  </si>
  <si>
    <t xml:space="preserve">Data &amp; Tech — catch-up roles open to Nigeria (7 Oct 2026)</t>
  </si>
  <si>
    <t xml:space="preserve">Remote — hires globally</t>
  </si>
  <si>
    <t xml:space="preserve">Engineering Manager — Travel FX App</t>
  </si>
  <si>
    <t xml:space="preserve">Bjak</t>
  </si>
  <si>
    <t xml:space="preserve">Engineering management; fintech/FX</t>
  </si>
  <si>
    <t xml:space="preserve">Lead Engineer — AI-Native Email App</t>
  </si>
  <si>
    <t xml:space="preserve">Lead</t>
  </si>
  <si>
    <t xml:space="preserve">Engineering leadership; AI products</t>
  </si>
  <si>
    <t xml:space="preserve">Technical Product Lead — AI Neobank</t>
  </si>
  <si>
    <t xml:space="preserve">Technical product leadership; fintech</t>
  </si>
  <si>
    <t xml:space="preserve">Remote — Global</t>
  </si>
  <si>
    <t xml:space="preserve">Salesforce Developer</t>
  </si>
  <si>
    <t xml:space="preserve">Centre for Effective Altruism</t>
  </si>
  <si>
    <t xml:space="preserve">Salesforce development</t>
  </si>
  <si>
    <t xml:space="preserve">Remote, Global (hires globally)</t>
  </si>
  <si>
    <t xml:space="preserve">Product Manager — Auth</t>
  </si>
  <si>
    <t xml:space="preserve">Supabase</t>
  </si>
  <si>
    <t xml:space="preserve">ESOP + benefits</t>
  </si>
  <si>
    <t xml:space="preserve">Auth/identity product management</t>
  </si>
  <si>
    <t xml:space="preserve">Senior Software Engineer, Quality</t>
  </si>
  <si>
    <t xml:space="preserve">Test automation; quality engineering</t>
  </si>
  <si>
    <t xml:space="preserve">~30 Sep</t>
  </si>
  <si>
    <t xml:space="preserve">Nairobi, Accra, Cape Town, Johannesburg, Kampala, Lagos (fully remote)</t>
  </si>
  <si>
    <t xml:space="preserve">Senior Backend Engineer — Asset Sales</t>
  </si>
  <si>
    <t xml:space="preserve">M-KOPA</t>
  </si>
  <si>
    <t xml:space="preserve">Backend engineering; core GMT hours</t>
  </si>
  <si>
    <t xml:space="preserve">Remote (no country list)</t>
  </si>
  <si>
    <t xml:space="preserve">Product Owner / Product Manager</t>
  </si>
  <si>
    <t xml:space="preserve">Full time</t>
  </si>
  <si>
    <t xml:space="preserve">$3k–3.5k/mo</t>
  </si>
  <si>
    <t xml:space="preserve">Product ownership; specs; US client work</t>
  </si>
  <si>
    <t xml:space="preserve">Location shows only 'Remote' — confirm Nigeria on apply</t>
  </si>
  <si>
    <t xml:space="preserve">Senior AI Software Engineer, Agent Systems</t>
  </si>
  <si>
    <t xml:space="preserve">$2.5k–3k/mo</t>
  </si>
  <si>
    <t xml:space="preserve">Agent systems; LLM engineering</t>
  </si>
  <si>
    <t xml:space="preserve">HR &amp; Legal — catch-up roles open to Nigeria (7 Oct 2026)</t>
  </si>
  <si>
    <t xml:space="preserve">Work from anywhere</t>
  </si>
  <si>
    <t xml:space="preserve">International Recruitment Consultant (Remote Recruiter)</t>
  </si>
  <si>
    <t xml:space="preserve">Atlean World</t>
  </si>
  <si>
    <t xml:space="preserve">Any</t>
  </si>
  <si>
    <t xml:space="preserve">Sourcing via job boards, social, networking</t>
  </si>
  <si>
    <t xml:space="preserve">Check pay model on apply (often commission)</t>
  </si>
  <si>
    <t xml:space="preserve">Remote; East Africa + US Eastern overlap</t>
  </si>
  <si>
    <t xml:space="preserve">Senior Manager, Investigations</t>
  </si>
  <si>
    <t xml:space="preserve">Senior Manager</t>
  </si>
  <si>
    <t xml:space="preserve">$114,660 base (US rate)</t>
  </si>
  <si>
    <t xml:space="preserve">5–7 yrs workplace investigations; English + French, Swahili or Portuguese</t>
  </si>
  <si>
    <t xml:space="preserve">Second language required</t>
  </si>
  <si>
    <t xml:space="preserve">micro1 — roles from your referral link (7 Oct 2026)</t>
  </si>
  <si>
    <t xml:space="preserve">Each "Apply ↗" opens that exact micro1 job with your referral code built in, so applications are credited to you (a few older roles open the general referral page; see Note).</t>
  </si>
  <si>
    <t xml:space="preserve">Field</t>
  </si>
  <si>
    <t xml:space="preserve">Pay (per hour, as listed)</t>
  </si>
  <si>
    <t xml:space="preserve">Openings</t>
  </si>
  <si>
    <t xml:space="preserve">Apply via referral</t>
  </si>
  <si>
    <t xml:space="preserve">▸ Teaching &amp; Writing</t>
  </si>
  <si>
    <t xml:space="preserve">Teaching &amp; Writing</t>
  </si>
  <si>
    <t xml:space="preserve">English Teacher</t>
  </si>
  <si>
    <t xml:space="preserve">$15–40/hr</t>
  </si>
  <si>
    <t xml:space="preserve">Journalist / Writer</t>
  </si>
  <si>
    <t xml:space="preserve">$90–140/hr</t>
  </si>
  <si>
    <t xml:space="preserve">19 Sep</t>
  </si>
  <si>
    <t xml:space="preserve">Educator / Assessor Writer</t>
  </si>
  <si>
    <t xml:space="preserve">Senior Book Editor</t>
  </si>
  <si>
    <t xml:space="preserve">$80–120/hr</t>
  </si>
  <si>
    <t xml:space="preserve">24 Sep</t>
  </si>
  <si>
    <t xml:space="preserve">Medical Writer (Pharmaceutical)</t>
  </si>
  <si>
    <t xml:space="preserve">$30–60/hr</t>
  </si>
  <si>
    <t xml:space="preserve">21 Sep</t>
  </si>
  <si>
    <t xml:space="preserve">Medical Communications Manager</t>
  </si>
  <si>
    <t xml:space="preserve">$50–80/hr</t>
  </si>
  <si>
    <t xml:space="preserve">Clinical Publications Author</t>
  </si>
  <si>
    <t xml:space="preserve">18 Sep</t>
  </si>
  <si>
    <t xml:space="preserve">▸ Creative &amp; Media</t>
  </si>
  <si>
    <t xml:space="preserve">Creative &amp; Media</t>
  </si>
  <si>
    <t xml:space="preserve">Graphic Designer</t>
  </si>
  <si>
    <t xml:space="preserve">$35–105/hr</t>
  </si>
  <si>
    <t xml:space="preserve">Art Related Professional</t>
  </si>
  <si>
    <t xml:space="preserve">Visual Creative Expert</t>
  </si>
  <si>
    <t xml:space="preserve">$21–70/hr</t>
  </si>
  <si>
    <t xml:space="preserve">Sep</t>
  </si>
  <si>
    <t xml:space="preserve">Video Editor</t>
  </si>
  <si>
    <t xml:space="preserve">$50–90/hr</t>
  </si>
  <si>
    <t xml:space="preserve">29 Sep</t>
  </si>
  <si>
    <t xml:space="preserve">Photographer</t>
  </si>
  <si>
    <t xml:space="preserve">VFX Artist / 3D Animator</t>
  </si>
  <si>
    <t xml:space="preserve">Audiovisual Producer</t>
  </si>
  <si>
    <t xml:space="preserve">Audio Engineer</t>
  </si>
  <si>
    <t xml:space="preserve">Music Editor</t>
  </si>
  <si>
    <t xml:space="preserve">Voice Actor / Coaches</t>
  </si>
  <si>
    <t xml:space="preserve">$30–70/hr</t>
  </si>
  <si>
    <t xml:space="preserve">5 Oct</t>
  </si>
  <si>
    <t xml:space="preserve">Game Designer / Gameplay Developer</t>
  </si>
  <si>
    <t xml:space="preserve">UX/UI Designer</t>
  </si>
  <si>
    <t xml:space="preserve">22 Sep</t>
  </si>
  <si>
    <t xml:space="preserve">Brand &amp; Creative Strategy Expert</t>
  </si>
  <si>
    <t xml:space="preserve">$150–350/hr</t>
  </si>
  <si>
    <t xml:space="preserve">23 Sep</t>
  </si>
  <si>
    <t xml:space="preserve">▸ AI Training &amp; Admin</t>
  </si>
  <si>
    <t xml:space="preserve">AI Training &amp; Admin</t>
  </si>
  <si>
    <t xml:space="preserve">Gmail &amp; Google Calendar AI Assistant Evaluator</t>
  </si>
  <si>
    <t xml:space="preserve">$15–30/hr</t>
  </si>
  <si>
    <t xml:space="preserve">25 Sep</t>
  </si>
  <si>
    <t xml:space="preserve">Senior AI Trainer</t>
  </si>
  <si>
    <t xml:space="preserve">$14–36/hr</t>
  </si>
  <si>
    <t xml:space="preserve">Video Data Annotation Specialist</t>
  </si>
  <si>
    <t xml:space="preserve">$8–10/hr</t>
  </si>
  <si>
    <t xml:space="preserve">Data Analyst (AI Evaluation)</t>
  </si>
  <si>
    <t xml:space="preserve">27 Sep</t>
  </si>
  <si>
    <t xml:space="preserve">Community Manager</t>
  </si>
  <si>
    <t xml:space="preserve">$15–20/hr</t>
  </si>
  <si>
    <t xml:space="preserve">Behavioral Analyst</t>
  </si>
  <si>
    <t xml:space="preserve">$20–70/hr</t>
  </si>
  <si>
    <t xml:space="preserve">15 Sep</t>
  </si>
  <si>
    <t xml:space="preserve">▸ HR &amp; Recruiting</t>
  </si>
  <si>
    <t xml:space="preserve">HR &amp; Recruiting</t>
  </si>
  <si>
    <t xml:space="preserve">Recruiter</t>
  </si>
  <si>
    <t xml:space="preserve">$50/hr</t>
  </si>
  <si>
    <t xml:space="preserve">Associate Recruiter</t>
  </si>
  <si>
    <t xml:space="preserve">$30/hr</t>
  </si>
  <si>
    <t xml:space="preserve">Recruitment Ops Manager</t>
  </si>
  <si>
    <t xml:space="preserve">$35–55/hr</t>
  </si>
  <si>
    <t xml:space="preserve">1 Oct</t>
  </si>
  <si>
    <t xml:space="preserve">Director of Talent Operations, Strategy &amp; Automation</t>
  </si>
  <si>
    <t xml:space="preserve">Not shown</t>
  </si>
  <si>
    <t xml:space="preserve">2 Oct</t>
  </si>
  <si>
    <t xml:space="preserve">▸ Finance</t>
  </si>
  <si>
    <t xml:space="preserve">Finance</t>
  </si>
  <si>
    <t xml:space="preserve">Senior Accountant Expert</t>
  </si>
  <si>
    <t xml:space="preserve">$60–120/hr</t>
  </si>
  <si>
    <t xml:space="preserve">Accounts Payable Analyst</t>
  </si>
  <si>
    <t xml:space="preserve">Equity Research Analyst / Associate</t>
  </si>
  <si>
    <t xml:space="preserve">$180–220/hr</t>
  </si>
  <si>
    <t xml:space="preserve">Investment Banking Associate</t>
  </si>
  <si>
    <t xml:space="preserve">$150–220/hr</t>
  </si>
  <si>
    <t xml:space="preserve">Equity Research Expert</t>
  </si>
  <si>
    <t xml:space="preserve">$175–300/hr</t>
  </si>
  <si>
    <t xml:space="preserve">14 Sep</t>
  </si>
  <si>
    <t xml:space="preserve">Investment Banking Expert</t>
  </si>
  <si>
    <t xml:space="preserve">Bloomberg Specialist</t>
  </si>
  <si>
    <t xml:space="preserve">$90–170/hr</t>
  </si>
  <si>
    <t xml:space="preserve">Finance Specialist (slide reconstruction)</t>
  </si>
  <si>
    <t xml:space="preserve">Consulting Specialist (slide reconstruction)</t>
  </si>
  <si>
    <t xml:space="preserve">▸ Software &amp; Data</t>
  </si>
  <si>
    <t xml:space="preserve">Software &amp; Data</t>
  </si>
  <si>
    <t xml:space="preserve">Software Engineer — Backend</t>
  </si>
  <si>
    <t xml:space="preserve">$30–100/hr</t>
  </si>
  <si>
    <t xml:space="preserve">Software Engineer, New Grad</t>
  </si>
  <si>
    <t xml:space="preserve">$60–80/hr</t>
  </si>
  <si>
    <t xml:space="preserve">Senior Software Engineer</t>
  </si>
  <si>
    <t xml:space="preserve">Sr. Full-Stack Software Engineer</t>
  </si>
  <si>
    <t xml:space="preserve">$50–100/hr</t>
  </si>
  <si>
    <t xml:space="preserve">Cyber Security Engineer</t>
  </si>
  <si>
    <t xml:space="preserve">Backend Security Engineer</t>
  </si>
  <si>
    <t xml:space="preserve">20 Sep</t>
  </si>
  <si>
    <t xml:space="preserve">Security Onion Specialist</t>
  </si>
  <si>
    <t xml:space="preserve">$90–175/hr</t>
  </si>
  <si>
    <t xml:space="preserve">Big Data Engineer</t>
  </si>
  <si>
    <t xml:space="preserve">$30–80/hr</t>
  </si>
  <si>
    <t xml:space="preserve">Associate Forward Deployed Engineer (aFDE)</t>
  </si>
  <si>
    <t xml:space="preserve">$40–60/hr</t>
  </si>
  <si>
    <t xml:space="preserve">Opens your general micro1 referral page — search the role title there.</t>
  </si>
  <si>
    <t xml:space="preserve">ML Engineer</t>
  </si>
  <si>
    <t xml:space="preserve">$80–150/hr</t>
  </si>
  <si>
    <t xml:space="preserve">AI/ML Engineer, Internal Platforms</t>
  </si>
  <si>
    <t xml:space="preserve">$160–300/hr</t>
  </si>
  <si>
    <t xml:space="preserve">Research Engineer — Code Generation &amp; Model Evaluation</t>
  </si>
  <si>
    <t xml:space="preserve">Competitive Coder</t>
  </si>
  <si>
    <t xml:space="preserve">$45–65/hr</t>
  </si>
  <si>
    <t xml:space="preserve">16 Sep</t>
  </si>
  <si>
    <t xml:space="preserve">Puzzle Solver (Coding)</t>
  </si>
  <si>
    <t xml:space="preserve">Open Source Contributor (GitHub)</t>
  </si>
  <si>
    <t xml:space="preserve">$100–150/hr</t>
  </si>
  <si>
    <t xml:space="preserve">Open Source GitHub Maintainer</t>
  </si>
  <si>
    <t xml:space="preserve">$150–300/hr</t>
  </si>
  <si>
    <t xml:space="preserve">Software Engineering Specialist (slide reconstruction)</t>
  </si>
  <si>
    <t xml:space="preserve">Data Science Specialist (slide reconstruction)</t>
  </si>
  <si>
    <t xml:space="preserve">Shopify Specialist</t>
  </si>
  <si>
    <t xml:space="preserve">$60–100/hr</t>
  </si>
  <si>
    <t xml:space="preserve">Salesforce / HubSpot Administrator — Revenue Systems</t>
  </si>
  <si>
    <t xml:space="preserve">$35–80/hr</t>
  </si>
  <si>
    <t xml:space="preserve">Product Manager / Product Owner</t>
  </si>
  <si>
    <t xml:space="preserve">▸ Legal</t>
  </si>
  <si>
    <t xml:space="preserve">Legal</t>
  </si>
  <si>
    <t xml:space="preserve">SaaS Contracts Counsel</t>
  </si>
  <si>
    <t xml:space="preserve">$80–110/hr</t>
  </si>
  <si>
    <t xml:space="preserve">Lawyer</t>
  </si>
  <si>
    <t xml:space="preserve">$80–180/hr</t>
  </si>
  <si>
    <t xml:space="preserve">Junior Transactional Attorney</t>
  </si>
  <si>
    <t xml:space="preserve">$70–90/hr</t>
  </si>
  <si>
    <t xml:space="preserve">Transactional Attorney</t>
  </si>
  <si>
    <t xml:space="preserve">$90–130/hr</t>
  </si>
  <si>
    <t xml:space="preserve">In-House Counsel</t>
  </si>
  <si>
    <t xml:space="preserve">General Counsel</t>
  </si>
  <si>
    <t xml:space="preserve">$90–110/hr</t>
  </si>
  <si>
    <t xml:space="preserve">Contract Attorney</t>
  </si>
  <si>
    <t xml:space="preserve">$85–105/hr</t>
  </si>
  <si>
    <t xml:space="preserve">Commercial Attorney</t>
  </si>
  <si>
    <t xml:space="preserve">Corporate Transactions Attorney</t>
  </si>
  <si>
    <t xml:space="preserve">Investment Funds Attorney</t>
  </si>
  <si>
    <t xml:space="preserve">$90–180/hr</t>
  </si>
  <si>
    <t xml:space="preserve">Derivatives Counsel (ISDA Specialist)</t>
  </si>
  <si>
    <t xml:space="preserve">$150–200/hr</t>
  </si>
  <si>
    <t xml:space="preserve">Corporate Attorney (M&amp;A)</t>
  </si>
  <si>
    <t xml:space="preserve">$140–350/hr</t>
  </si>
  <si>
    <t xml:space="preserve">17 Sep</t>
  </si>
  <si>
    <t xml:space="preserve">Lawyer / Legal Writer</t>
  </si>
  <si>
    <t xml:space="preserve">▸ Health &amp; Science</t>
  </si>
  <si>
    <t xml:space="preserve">Health &amp; Science</t>
  </si>
  <si>
    <t xml:space="preserve">Pharmaceutical Expert</t>
  </si>
  <si>
    <t xml:space="preserve">$80–285/hr</t>
  </si>
  <si>
    <t xml:space="preserve">30 Sep</t>
  </si>
  <si>
    <t xml:space="preserve">Hospitalist Reviewer</t>
  </si>
  <si>
    <t xml:space="preserve">Developmental Psychology (PhD)</t>
  </si>
  <si>
    <t xml:space="preserve">$100–200/hr</t>
  </si>
  <si>
    <t xml:space="preserve">4 Oct</t>
  </si>
  <si>
    <t xml:space="preserve">Physics Expert (PhD / Postdoc)</t>
  </si>
  <si>
    <t xml:space="preserve">▸ Engineering &amp; CAD</t>
  </si>
  <si>
    <t xml:space="preserve">Engineering &amp; CAD</t>
  </si>
  <si>
    <t xml:space="preserve">Mechanical Engineering Expert</t>
  </si>
  <si>
    <t xml:space="preserve">Circuit Design Expert</t>
  </si>
  <si>
    <t xml:space="preserve">Materials Science Expert</t>
  </si>
  <si>
    <t xml:space="preserve">Aerodynamics Expert</t>
  </si>
  <si>
    <t xml:space="preserve">CFD Engineer</t>
  </si>
  <si>
    <t xml:space="preserve">$50–150/hr</t>
  </si>
  <si>
    <t xml:space="preserve">Mechanical CAD Expert</t>
  </si>
  <si>
    <t xml:space="preserve">$40–80/hr</t>
  </si>
  <si>
    <t xml:space="preserve">Mechanical Design Engineer — CAD &amp; Manufacturing</t>
  </si>
  <si>
    <t xml:space="preserve">Senior Mechanical Design Engineer</t>
  </si>
  <si>
    <t xml:space="preserve">$40–90/hr</t>
  </si>
  <si>
    <t xml:space="preserve">CAD Design Expert (Instructor)</t>
  </si>
  <si>
    <t xml:space="preserve">Robotics Expert</t>
  </si>
  <si>
    <t xml:space="preserve">Mechatronics Engineer</t>
  </si>
  <si>
    <t xml:space="preserve">Simulation Expert — Real-to-Sim 3D</t>
  </si>
  <si>
    <t xml:space="preserve">$60–150/hr</t>
  </si>
  <si>
    <t xml:space="preserve">3 Oct</t>
  </si>
  <si>
    <t xml:space="preserve">Senior Electronics Quality Engineer</t>
  </si>
  <si>
    <t xml:space="preserve">$70–120/hr</t>
  </si>
  <si>
    <t xml:space="preserve">QA &amp; Source Inspection</t>
  </si>
  <si>
    <t xml:space="preserve">Senior NDT Inspector (Level II/III)</t>
  </si>
  <si>
    <t xml:space="preserve">$70–110/hr</t>
  </si>
  <si>
    <t xml:space="preserve">Senior Field Service Technician</t>
  </si>
  <si>
    <t xml:space="preserve">$60–110/hr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</si>
</sst>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23A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DE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DE3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23A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7A5B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3E4"/>
        </patternFill>
      </fill>
    </dxf>
    <dxf>
      <font>
        <name val="Arial"/>
        <charset val="1"/>
        <family val="0"/>
        <color rgb="FF7A5B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DE3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23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RJ_Search_Sheet_Catch-up_7_Oct_2026.xlsx" TargetMode="External"/><Relationship Id="rId2" Type="http://schemas.openxmlformats.org/officeDocument/2006/relationships/hyperlink" Target="ERJ_Search_Sheet_Catch-up_7_Oct_2026.xlsx" TargetMode="External"/><Relationship Id="rId3" Type="http://schemas.openxmlformats.org/officeDocument/2006/relationships/hyperlink" Target="ERJ_Search_Sheet_Catch-up_7_Oct_2026.xlsx" TargetMode="External"/><Relationship Id="rId4" Type="http://schemas.openxmlformats.org/officeDocument/2006/relationships/hyperlink" Target="ERJ_Search_Sheet_Catch-up_7_Oct_2026.xlsx" TargetMode="External"/><Relationship Id="rId5" Type="http://schemas.openxmlformats.org/officeDocument/2006/relationships/hyperlink" Target="ERJ_Search_Sheet_Catch-up_7_Oct_2026.xlsx" TargetMode="External"/><Relationship Id="rId6" Type="http://schemas.openxmlformats.org/officeDocument/2006/relationships/hyperlink" Target="ERJ_Search_Sheet_Catch-up_7_Oct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pply.workable.com/bask-health-1/j/5252823A71" TargetMode="External"/><Relationship Id="rId2" Type="http://schemas.openxmlformats.org/officeDocument/2006/relationships/hyperlink" Target="https://jobs.ashbyhq.com/SKELAR/3ab207f6-a9e9-46e1-b52b-81e7cad72d06" TargetMode="External"/><Relationship Id="rId3" Type="http://schemas.openxmlformats.org/officeDocument/2006/relationships/hyperlink" Target="https://jobs.ashbyhq.com/Spirio/b4178e98-2f35-42cd-b816-ca30eb1baa76" TargetMode="External"/><Relationship Id="rId4" Type="http://schemas.openxmlformats.org/officeDocument/2006/relationships/hyperlink" Target="https://jobs.ashbyhq.com/hercules/58584cca-8573-415c-b1fb-a5ad29095eaf" TargetMode="External"/><Relationship Id="rId5" Type="http://schemas.openxmlformats.org/officeDocument/2006/relationships/hyperlink" Target="https://jobs.lever.co/jobgether/99f0aca8-4f41-48cd-9b05-1f30101dbee3" TargetMode="External"/><Relationship Id="rId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job-boards.greenhouse.io/givedirectly/jobs/4739969005" TargetMode="External"/><Relationship Id="rId2" Type="http://schemas.openxmlformats.org/officeDocument/2006/relationships/hyperlink" Target="https://jobs.lever.co/jobgether/ce88b0ed-740f-4053-a9b7-005cf9207131" TargetMode="External"/><Relationship Id="rId3" Type="http://schemas.openxmlformats.org/officeDocument/2006/relationships/hyperlink" Target="https://jobs.ashbyhq.com/scale%20army%20careers/07d70251-ff00-42be-bc43-80c558b6298b" TargetMode="External"/><Relationship Id="rId4" Type="http://schemas.openxmlformats.org/officeDocument/2006/relationships/hyperlink" Target="https://jobs.ashbyhq.com/scale%20army%20careers/1e112ec6-90ec-4c6e-a557-6de6510f06ae" TargetMode="External"/><Relationship Id="rId5" Type="http://schemas.openxmlformats.org/officeDocument/2006/relationships/hyperlink" Target="https://jobs.ashbyhq.com/scale%20army%20careers/766dec53-fc39-4fec-8b40-ea24b6cad1e2" TargetMode="External"/><Relationship Id="rId6" Type="http://schemas.openxmlformats.org/officeDocument/2006/relationships/hyperlink" Target="https://jobs.ashbyhq.com/scale%20army%20careers/38395abb-1e81-48bf-a721-b14f43fd9b45" TargetMode="External"/><Relationship Id="rId7" Type="http://schemas.openxmlformats.org/officeDocument/2006/relationships/hyperlink" Target="https://jobs.ashbyhq.com/scale%20army%20careers/d2cfa9c7-e673-46be-8717-8b94a53e2b07" TargetMode="External"/><Relationship Id="rId8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obs.ashbyhq.com/Clera/45baab7a-8359-42d1-9a6e-a4271f8fd41e" TargetMode="External"/><Relationship Id="rId2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jobs.ashbyhq.com/bjakcareer/e4dac54b-8121-4f74-ae5e-ccc7563ef936" TargetMode="External"/><Relationship Id="rId2" Type="http://schemas.openxmlformats.org/officeDocument/2006/relationships/hyperlink" Target="https://jobs.ashbyhq.com/bjakcareer/2e7256e7-85d5-4e96-a897-bc16c6cb4a48" TargetMode="External"/><Relationship Id="rId3" Type="http://schemas.openxmlformats.org/officeDocument/2006/relationships/hyperlink" Target="https://jobs.ashbyhq.com/bjakcareer/6f172857-bdc3-4e5c-bd95-bd97bcf6db19" TargetMode="External"/><Relationship Id="rId4" Type="http://schemas.openxmlformats.org/officeDocument/2006/relationships/hyperlink" Target="https://jobs.ashbyhq.com/centreforeffectivealtruism/441cf34b-2421-4d72-a29d-6a45bdad0b67" TargetMode="External"/><Relationship Id="rId5" Type="http://schemas.openxmlformats.org/officeDocument/2006/relationships/hyperlink" Target="https://jobs.ashbyhq.com/supabase/9a4c9984-07c7-4b47-982f-371de3f6ff50" TargetMode="External"/><Relationship Id="rId6" Type="http://schemas.openxmlformats.org/officeDocument/2006/relationships/hyperlink" Target="https://jobs.lever.co/jobgether/9f1e3fc6-e8e5-4853-8768-800b555744db" TargetMode="External"/><Relationship Id="rId7" Type="http://schemas.openxmlformats.org/officeDocument/2006/relationships/hyperlink" Target="https://jobs.ashbyhq.com/M-KOPA/0c0fdef0-61b7-4f7d-bd56-c09d66471396" TargetMode="External"/><Relationship Id="rId8" Type="http://schemas.openxmlformats.org/officeDocument/2006/relationships/hyperlink" Target="https://jobs.ashbyhq.com/scale%20army%20careers/4a60c0c5-2a90-4f0b-83ec-d502b0eb627d" TargetMode="External"/><Relationship Id="rId9" Type="http://schemas.openxmlformats.org/officeDocument/2006/relationships/hyperlink" Target="https://jobs.ashbyhq.com/scale%20army%20careers/c1aa7444-f7dc-4394-95f3-2fb75d931bdb" TargetMode="External"/><Relationship Id="rId10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pply.workable.com/atleanworld/j/980CDDCA97" TargetMode="External"/><Relationship Id="rId2" Type="http://schemas.openxmlformats.org/officeDocument/2006/relationships/hyperlink" Target="https://job-boards.greenhouse.io/givedirectly/jobs/4739348005" TargetMode="External"/><Relationship Id="rId3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jobs.micro1.ai/post/7cb06da3-8e02-4bd1-8a53-46a573e92907?referralCode=d3605f74-92f0-4f1c-b8e2-4ab757bffc26" TargetMode="External"/><Relationship Id="rId2" Type="http://schemas.openxmlformats.org/officeDocument/2006/relationships/hyperlink" Target="https://jobs.micro1.ai/post/86213f23-d13c-4390-a865-8e3c1cb52eb0?referralCode=d3605f74-92f0-4f1c-b8e2-4ab757bffc26" TargetMode="External"/><Relationship Id="rId3" Type="http://schemas.openxmlformats.org/officeDocument/2006/relationships/hyperlink" Target="https://jobs.micro1.ai/post/9ec7d467-0dd7-44c2-aa7c-dc99df803e65?referralCode=d3605f74-92f0-4f1c-b8e2-4ab757bffc26" TargetMode="External"/><Relationship Id="rId4" Type="http://schemas.openxmlformats.org/officeDocument/2006/relationships/hyperlink" Target="https://jobs.micro1.ai/post/ab52b995-a0f8-4aab-ac1d-98777ce867fa?referralCode=d3605f74-92f0-4f1c-b8e2-4ab757bffc26" TargetMode="External"/><Relationship Id="rId5" Type="http://schemas.openxmlformats.org/officeDocument/2006/relationships/hyperlink" Target="https://jobs.micro1.ai/post/6da7a95c-8ab7-4b76-a835-b1a6554da382?referralCode=d3605f74-92f0-4f1c-b8e2-4ab757bffc26" TargetMode="External"/><Relationship Id="rId6" Type="http://schemas.openxmlformats.org/officeDocument/2006/relationships/hyperlink" Target="https://jobs.micro1.ai/post/d130c45f-c85a-4ce6-9a12-53c980a63be7?referralCode=d3605f74-92f0-4f1c-b8e2-4ab757bffc26" TargetMode="External"/><Relationship Id="rId7" Type="http://schemas.openxmlformats.org/officeDocument/2006/relationships/hyperlink" Target="https://jobs.micro1.ai/post/5ed4068f-177a-4ed2-9642-a9d4ba45be39?referralCode=d3605f74-92f0-4f1c-b8e2-4ab757bffc26" TargetMode="External"/><Relationship Id="rId8" Type="http://schemas.openxmlformats.org/officeDocument/2006/relationships/hyperlink" Target="https://jobs.micro1.ai/post/5bf549f0-b706-47ca-b15a-de203995db6f?referralCode=d3605f74-92f0-4f1c-b8e2-4ab757bffc26" TargetMode="External"/><Relationship Id="rId9" Type="http://schemas.openxmlformats.org/officeDocument/2006/relationships/hyperlink" Target="https://jobs.micro1.ai/post/9ca6654e-b787-4571-9d2e-ef5bbb9ad2c7?referralCode=d3605f74-92f0-4f1c-b8e2-4ab757bffc26" TargetMode="External"/><Relationship Id="rId10" Type="http://schemas.openxmlformats.org/officeDocument/2006/relationships/hyperlink" Target="https://jobs.micro1.ai/post/84317e04-23ca-41b5-8df8-87f7557f0541?referralCode=d3605f74-92f0-4f1c-b8e2-4ab757bffc26" TargetMode="External"/><Relationship Id="rId11" Type="http://schemas.openxmlformats.org/officeDocument/2006/relationships/hyperlink" Target="https://jobs.micro1.ai/post/99bd931e-ade9-4346-86b6-0a7277f52007?referralCode=d3605f74-92f0-4f1c-b8e2-4ab757bffc26" TargetMode="External"/><Relationship Id="rId12" Type="http://schemas.openxmlformats.org/officeDocument/2006/relationships/hyperlink" Target="https://jobs.micro1.ai/post/0dd2f7fe-0069-40b0-bf55-0a8048206fa7?referralCode=d3605f74-92f0-4f1c-b8e2-4ab757bffc26" TargetMode="External"/><Relationship Id="rId13" Type="http://schemas.openxmlformats.org/officeDocument/2006/relationships/hyperlink" Target="https://jobs.micro1.ai/post/cdbf1324-7e7b-49bf-9a78-ef9d2e8b22ab?referralCode=d3605f74-92f0-4f1c-b8e2-4ab757bffc26" TargetMode="External"/><Relationship Id="rId14" Type="http://schemas.openxmlformats.org/officeDocument/2006/relationships/hyperlink" Target="https://jobs.micro1.ai/post/5f72a4d0-b364-47f7-a034-5021cbdc0e51?referralCode=d3605f74-92f0-4f1c-b8e2-4ab757bffc26" TargetMode="External"/><Relationship Id="rId15" Type="http://schemas.openxmlformats.org/officeDocument/2006/relationships/hyperlink" Target="https://jobs.micro1.ai/post/03946ab0-118f-4acf-9ff5-05fc752ec0af?referralCode=d3605f74-92f0-4f1c-b8e2-4ab757bffc26" TargetMode="External"/><Relationship Id="rId16" Type="http://schemas.openxmlformats.org/officeDocument/2006/relationships/hyperlink" Target="https://jobs.micro1.ai/post/6d9c4e06-dbf7-4e16-a3c5-32d2b9afe6ff?referralCode=d3605f74-92f0-4f1c-b8e2-4ab757bffc26" TargetMode="External"/><Relationship Id="rId17" Type="http://schemas.openxmlformats.org/officeDocument/2006/relationships/hyperlink" Target="https://jobs.micro1.ai/post/941cd9a0-94f3-442e-a24a-24d37ca1aa43?referralCode=d3605f74-92f0-4f1c-b8e2-4ab757bffc26" TargetMode="External"/><Relationship Id="rId18" Type="http://schemas.openxmlformats.org/officeDocument/2006/relationships/hyperlink" Target="https://jobs.micro1.ai/post/43c43368-acf4-42f8-8351-74173291c5ac?referralCode=d3605f74-92f0-4f1c-b8e2-4ab757bffc26" TargetMode="External"/><Relationship Id="rId19" Type="http://schemas.openxmlformats.org/officeDocument/2006/relationships/hyperlink" Target="https://jobs.micro1.ai/post/d02122f3-eaec-42b2-ad3f-edc218b94294?referralCode=d3605f74-92f0-4f1c-b8e2-4ab757bffc26" TargetMode="External"/><Relationship Id="rId20" Type="http://schemas.openxmlformats.org/officeDocument/2006/relationships/hyperlink" Target="https://jobs.micro1.ai/post/eefa6ece-b107-4896-b13c-a1d0c455680a?referralCode=d3605f74-92f0-4f1c-b8e2-4ab757bffc26" TargetMode="External"/><Relationship Id="rId21" Type="http://schemas.openxmlformats.org/officeDocument/2006/relationships/hyperlink" Target="https://jobs.micro1.ai/post/313b5b7a-a6a8-4acf-9842-017d8506a037?referralCode=d3605f74-92f0-4f1c-b8e2-4ab757bffc26" TargetMode="External"/><Relationship Id="rId22" Type="http://schemas.openxmlformats.org/officeDocument/2006/relationships/hyperlink" Target="https://jobs.micro1.ai/post/21b6f2ad-63a8-47d4-9fd7-31667bf3dbb1?referralCode=d3605f74-92f0-4f1c-b8e2-4ab757bffc26" TargetMode="External"/><Relationship Id="rId23" Type="http://schemas.openxmlformats.org/officeDocument/2006/relationships/hyperlink" Target="https://jobs.micro1.ai/post/4256a2e1-877f-42d5-8fef-20147a0b2db7?referralCode=d3605f74-92f0-4f1c-b8e2-4ab757bffc26" TargetMode="External"/><Relationship Id="rId24" Type="http://schemas.openxmlformats.org/officeDocument/2006/relationships/hyperlink" Target="https://jobs.micro1.ai/post/90990ebf-8198-4b79-a799-add474453dbb?referralCode=d3605f74-92f0-4f1c-b8e2-4ab757bffc26" TargetMode="External"/><Relationship Id="rId25" Type="http://schemas.openxmlformats.org/officeDocument/2006/relationships/hyperlink" Target="https://jobs.micro1.ai/post/b30ae1af-0865-4677-9462-d1f449e092cd?referralCode=d3605f74-92f0-4f1c-b8e2-4ab757bffc26" TargetMode="External"/><Relationship Id="rId26" Type="http://schemas.openxmlformats.org/officeDocument/2006/relationships/hyperlink" Target="https://jobs.micro1.ai/post/1309e64b-2af9-4aa2-8894-d67fa2b7dd60?referralCode=d3605f74-92f0-4f1c-b8e2-4ab757bffc26" TargetMode="External"/><Relationship Id="rId27" Type="http://schemas.openxmlformats.org/officeDocument/2006/relationships/hyperlink" Target="https://jobs.micro1.ai/post/65877c40-5dc5-4b39-82a2-5cb6bd9f0407?referralCode=d3605f74-92f0-4f1c-b8e2-4ab757bffc26" TargetMode="External"/><Relationship Id="rId28" Type="http://schemas.openxmlformats.org/officeDocument/2006/relationships/hyperlink" Target="https://jobs.micro1.ai/post/780eb79e-41aa-4746-958f-9b0b067d4df4?referralCode=d3605f74-92f0-4f1c-b8e2-4ab757bffc26" TargetMode="External"/><Relationship Id="rId29" Type="http://schemas.openxmlformats.org/officeDocument/2006/relationships/hyperlink" Target="https://jobs.micro1.ai/post/0175ab60-933c-4a94-b842-5207e2d09c99?referralCode=d3605f74-92f0-4f1c-b8e2-4ab757bffc26" TargetMode="External"/><Relationship Id="rId30" Type="http://schemas.openxmlformats.org/officeDocument/2006/relationships/hyperlink" Target="https://jobs.micro1.ai/post/b6aeb866-1fd0-41c1-acdb-85dd6b906b6a?referralCode=d3605f74-92f0-4f1c-b8e2-4ab757bffc26" TargetMode="External"/><Relationship Id="rId31" Type="http://schemas.openxmlformats.org/officeDocument/2006/relationships/hyperlink" Target="https://jobs.micro1.ai/post/5a5f50f0-b43a-4cdd-8ba4-b3bfe06dd8b6?referralCode=d3605f74-92f0-4f1c-b8e2-4ab757bffc26" TargetMode="External"/><Relationship Id="rId32" Type="http://schemas.openxmlformats.org/officeDocument/2006/relationships/hyperlink" Target="https://jobs.micro1.ai/post/44ad0950-96f2-410a-b3f1-63ff4708da8e?referralCode=d3605f74-92f0-4f1c-b8e2-4ab757bffc26" TargetMode="External"/><Relationship Id="rId33" Type="http://schemas.openxmlformats.org/officeDocument/2006/relationships/hyperlink" Target="https://jobs.micro1.ai/post/0174b525-afc3-42a5-9b5f-a0b9d2791762?referralCode=d3605f74-92f0-4f1c-b8e2-4ab757bffc26" TargetMode="External"/><Relationship Id="rId34" Type="http://schemas.openxmlformats.org/officeDocument/2006/relationships/hyperlink" Target="https://jobs.micro1.ai/post/7c6cf443-f2b6-4311-90f3-cfc344075814?referralCode=d3605f74-92f0-4f1c-b8e2-4ab757bffc26" TargetMode="External"/><Relationship Id="rId35" Type="http://schemas.openxmlformats.org/officeDocument/2006/relationships/hyperlink" Target="https://jobs.micro1.ai/post/95006305-f66b-4fba-9a06-339c48f82283?referralCode=d3605f74-92f0-4f1c-b8e2-4ab757bffc26" TargetMode="External"/><Relationship Id="rId36" Type="http://schemas.openxmlformats.org/officeDocument/2006/relationships/hyperlink" Target="https://jobs.micro1.ai/post/fe1e7380-928e-40b6-ba2c-b0e544e09a5a?referralCode=d3605f74-92f0-4f1c-b8e2-4ab757bffc26" TargetMode="External"/><Relationship Id="rId37" Type="http://schemas.openxmlformats.org/officeDocument/2006/relationships/hyperlink" Target="https://jobs.micro1.ai/post/0bccba7d-b0cd-4be5-96b2-b0ae655c0ed0?referralCode=d3605f74-92f0-4f1c-b8e2-4ab757bffc26" TargetMode="External"/><Relationship Id="rId38" Type="http://schemas.openxmlformats.org/officeDocument/2006/relationships/hyperlink" Target="https://jobs.micro1.ai/post/e107daa7-2cc8-4153-94c2-ff7806bb9d6e?referralCode=d3605f74-92f0-4f1c-b8e2-4ab757bffc26" TargetMode="External"/><Relationship Id="rId39" Type="http://schemas.openxmlformats.org/officeDocument/2006/relationships/hyperlink" Target="https://jobs.micro1.ai/post/7e08e6c8-6e8a-46bb-a594-1bfae53c743b?referralCode=d3605f74-92f0-4f1c-b8e2-4ab757bffc26" TargetMode="External"/><Relationship Id="rId40" Type="http://schemas.openxmlformats.org/officeDocument/2006/relationships/hyperlink" Target="https://jobs.micro1.ai/post/6634c1b6-553f-4d60-a692-be005464a798?referralCode=d3605f74-92f0-4f1c-b8e2-4ab757bffc26" TargetMode="External"/><Relationship Id="rId41" Type="http://schemas.openxmlformats.org/officeDocument/2006/relationships/hyperlink" Target="https://jobs.micro1.ai/post/364acc50-17de-4a4b-b8f1-996a7065e549?referralCode=d3605f74-92f0-4f1c-b8e2-4ab757bffc26" TargetMode="External"/><Relationship Id="rId42" Type="http://schemas.openxmlformats.org/officeDocument/2006/relationships/hyperlink" Target="https://jobs.micro1.ai/post/f27a054c-92f3-4a26-9aba-af5782c38420?referralCode=d3605f74-92f0-4f1c-b8e2-4ab757bffc26" TargetMode="External"/><Relationship Id="rId43" Type="http://schemas.openxmlformats.org/officeDocument/2006/relationships/hyperlink" Target="https://jobs.micro1.ai/post/4010d2c5-4a3d-41fe-9e33-28bc218626e5?referralCode=d3605f74-92f0-4f1c-b8e2-4ab757bffc26" TargetMode="External"/><Relationship Id="rId44" Type="http://schemas.openxmlformats.org/officeDocument/2006/relationships/hyperlink" Target="https://jobs.micro1.ai/post/7e1fcbca-de56-4423-8ef4-3d5106ab9e6e?referralCode=d3605f74-92f0-4f1c-b8e2-4ab757bffc26" TargetMode="External"/><Relationship Id="rId45" Type="http://schemas.openxmlformats.org/officeDocument/2006/relationships/hyperlink" Target="https://jobs.micro1.ai/post/6818a81f-b736-4734-8700-aa3375ab5cc4?referralCode=d3605f74-92f0-4f1c-b8e2-4ab757bffc26" TargetMode="External"/><Relationship Id="rId46" Type="http://schemas.openxmlformats.org/officeDocument/2006/relationships/hyperlink" Target="https://jobs.micro1.ai/post/7bc65540-718f-4f23-8f27-69a12aa15d4b?referralCode=d3605f74-92f0-4f1c-b8e2-4ab757bffc26" TargetMode="External"/><Relationship Id="rId47" Type="http://schemas.openxmlformats.org/officeDocument/2006/relationships/hyperlink" Target="https://jobs.micro1.ai/post/3dda7a92-1d6d-4e5e-ae91-074ab9674a6f?referralCode=d3605f74-92f0-4f1c-b8e2-4ab757bffc26" TargetMode="External"/><Relationship Id="rId48" Type="http://schemas.openxmlformats.org/officeDocument/2006/relationships/hyperlink" Target="https://refer.micro1.ai/referral/jobs?referralCode=d3605f74-92f0-4f1c-b8e2-4ab757bffc26&amp;utm_source=referral&amp;utm_medium=share&amp;utm_campaign=job_referral" TargetMode="External"/><Relationship Id="rId49" Type="http://schemas.openxmlformats.org/officeDocument/2006/relationships/hyperlink" Target="https://jobs.micro1.ai/post/76dbade2-b58e-4a60-ac78-18226940213c?referralCode=d3605f74-92f0-4f1c-b8e2-4ab757bffc26" TargetMode="External"/><Relationship Id="rId50" Type="http://schemas.openxmlformats.org/officeDocument/2006/relationships/hyperlink" Target="https://jobs.micro1.ai/post/7c09cefc-fd08-4ee4-b792-48e3a4753e9c?referralCode=d3605f74-92f0-4f1c-b8e2-4ab757bffc26" TargetMode="External"/><Relationship Id="rId51" Type="http://schemas.openxmlformats.org/officeDocument/2006/relationships/hyperlink" Target="https://jobs.micro1.ai/post/59fc8961-1c55-4822-883b-242f80920ab9?referralCode=d3605f74-92f0-4f1c-b8e2-4ab757bffc26" TargetMode="External"/><Relationship Id="rId52" Type="http://schemas.openxmlformats.org/officeDocument/2006/relationships/hyperlink" Target="https://jobs.micro1.ai/post/dcd53728-6fe1-4c86-b362-31cdc7428e3a?referralCode=d3605f74-92f0-4f1c-b8e2-4ab757bffc26" TargetMode="External"/><Relationship Id="rId53" Type="http://schemas.openxmlformats.org/officeDocument/2006/relationships/hyperlink" Target="https://jobs.micro1.ai/post/b162a0c4-a88f-462f-ad8d-ecfa32292586?referralCode=d3605f74-92f0-4f1c-b8e2-4ab757bffc26" TargetMode="External"/><Relationship Id="rId54" Type="http://schemas.openxmlformats.org/officeDocument/2006/relationships/hyperlink" Target="https://jobs.micro1.ai/post/18a809aa-0b7f-4523-ac0e-508c9f0f6f66?referralCode=d3605f74-92f0-4f1c-b8e2-4ab757bffc26" TargetMode="External"/><Relationship Id="rId55" Type="http://schemas.openxmlformats.org/officeDocument/2006/relationships/hyperlink" Target="https://jobs.micro1.ai/post/51a65c2c-07dd-4307-aba6-f7c4af17311c?referralCode=d3605f74-92f0-4f1c-b8e2-4ab757bffc26" TargetMode="External"/><Relationship Id="rId56" Type="http://schemas.openxmlformats.org/officeDocument/2006/relationships/hyperlink" Target="https://jobs.micro1.ai/post/b4ce7861-a888-4f57-bb63-c50fb01ae65d?referralCode=d3605f74-92f0-4f1c-b8e2-4ab757bffc26" TargetMode="External"/><Relationship Id="rId57" Type="http://schemas.openxmlformats.org/officeDocument/2006/relationships/hyperlink" Target="https://jobs.micro1.ai/post/34374189-05e8-4eb2-8506-a831931459c9?referralCode=d3605f74-92f0-4f1c-b8e2-4ab757bffc26" TargetMode="External"/><Relationship Id="rId58" Type="http://schemas.openxmlformats.org/officeDocument/2006/relationships/hyperlink" Target="https://jobs.micro1.ai/post/e8249392-42b6-4b8c-b8b7-8a58367984c5?referralCode=d3605f74-92f0-4f1c-b8e2-4ab757bffc26" TargetMode="External"/><Relationship Id="rId59" Type="http://schemas.openxmlformats.org/officeDocument/2006/relationships/hyperlink" Target="https://jobs.micro1.ai/post/94b4eeba-56d5-4efa-98be-2dceb02d538d?referralCode=d3605f74-92f0-4f1c-b8e2-4ab757bffc26" TargetMode="External"/><Relationship Id="rId60" Type="http://schemas.openxmlformats.org/officeDocument/2006/relationships/hyperlink" Target="https://jobs.micro1.ai/post/edba074b-85ef-420e-a2e9-48ed444c4839?referralCode=d3605f74-92f0-4f1c-b8e2-4ab757bffc26" TargetMode="External"/><Relationship Id="rId61" Type="http://schemas.openxmlformats.org/officeDocument/2006/relationships/hyperlink" Target="https://jobs.micro1.ai/post/9a648ee0-2d83-4453-89f5-19df3deb295c?referralCode=d3605f74-92f0-4f1c-b8e2-4ab757bffc26" TargetMode="External"/><Relationship Id="rId62" Type="http://schemas.openxmlformats.org/officeDocument/2006/relationships/hyperlink" Target="https://jobs.micro1.ai/post/cc1ccbb6-0bda-400b-97db-215eec55be83?referralCode=d3605f74-92f0-4f1c-b8e2-4ab757bffc26" TargetMode="External"/><Relationship Id="rId63" Type="http://schemas.openxmlformats.org/officeDocument/2006/relationships/hyperlink" Target="https://jobs.micro1.ai/post/15be616a-44af-4fd5-8283-e2fd51a11f1b?referralCode=d3605f74-92f0-4f1c-b8e2-4ab757bffc26" TargetMode="External"/><Relationship Id="rId64" Type="http://schemas.openxmlformats.org/officeDocument/2006/relationships/hyperlink" Target="https://jobs.micro1.ai/post/e2cd73b6-d326-4c42-b929-d66d6015b564?referralCode=d3605f74-92f0-4f1c-b8e2-4ab757bffc26" TargetMode="External"/><Relationship Id="rId65" Type="http://schemas.openxmlformats.org/officeDocument/2006/relationships/hyperlink" Target="https://jobs.micro1.ai/post/0936cd2a-a0a9-4105-802a-a4ec81cbf466?referralCode=d3605f74-92f0-4f1c-b8e2-4ab757bffc26" TargetMode="External"/><Relationship Id="rId66" Type="http://schemas.openxmlformats.org/officeDocument/2006/relationships/hyperlink" Target="https://jobs.micro1.ai/post/251f01db-9b62-40d6-9392-7ebf3c67ca88?referralCode=d3605f74-92f0-4f1c-b8e2-4ab757bffc26" TargetMode="External"/><Relationship Id="rId67" Type="http://schemas.openxmlformats.org/officeDocument/2006/relationships/hyperlink" Target="https://jobs.micro1.ai/post/482ee7a8-ec42-4dd7-9b90-1f3186fcb0ef?referralCode=d3605f74-92f0-4f1c-b8e2-4ab757bffc26" TargetMode="External"/><Relationship Id="rId68" Type="http://schemas.openxmlformats.org/officeDocument/2006/relationships/hyperlink" Target="https://jobs.micro1.ai/post/076f4149-4798-4082-b157-d35d179a869f?referralCode=d3605f74-92f0-4f1c-b8e2-4ab757bffc26" TargetMode="External"/><Relationship Id="rId69" Type="http://schemas.openxmlformats.org/officeDocument/2006/relationships/hyperlink" Target="https://jobs.micro1.ai/post/ff001293-c23b-46eb-a4db-8b2598c27897?referralCode=d3605f74-92f0-4f1c-b8e2-4ab757bffc26" TargetMode="External"/><Relationship Id="rId70" Type="http://schemas.openxmlformats.org/officeDocument/2006/relationships/hyperlink" Target="https://jobs.micro1.ai/post/81bef975-1ec5-404c-a1a6-7efe49dec2a3?referralCode=d3605f74-92f0-4f1c-b8e2-4ab757bffc26" TargetMode="External"/><Relationship Id="rId71" Type="http://schemas.openxmlformats.org/officeDocument/2006/relationships/hyperlink" Target="https://jobs.micro1.ai/post/ca43d8de-7ded-4a6d-a8e1-bfc294d42914?referralCode=d3605f74-92f0-4f1c-b8e2-4ab757bffc26" TargetMode="External"/><Relationship Id="rId72" Type="http://schemas.openxmlformats.org/officeDocument/2006/relationships/hyperlink" Target="https://refer.micro1.ai/referral/jobs?referralCode=d3605f74-92f0-4f1c-b8e2-4ab757bffc26&amp;utm_source=referral&amp;utm_medium=share&amp;utm_campaign=job_referral" TargetMode="External"/><Relationship Id="rId73" Type="http://schemas.openxmlformats.org/officeDocument/2006/relationships/hyperlink" Target="https://jobs.micro1.ai/post/c99724a5-d4e7-48d0-92b1-73dde88ad9c8?referralCode=d3605f74-92f0-4f1c-b8e2-4ab757bffc26" TargetMode="External"/><Relationship Id="rId74" Type="http://schemas.openxmlformats.org/officeDocument/2006/relationships/hyperlink" Target="https://jobs.micro1.ai/post/d54c73d6-e3bc-4183-98ae-1f1a8197721d?referralCode=d3605f74-92f0-4f1c-b8e2-4ab757bffc26" TargetMode="External"/><Relationship Id="rId75" Type="http://schemas.openxmlformats.org/officeDocument/2006/relationships/hyperlink" Target="https://jobs.micro1.ai/post/6ec61d0d-4e7b-4e79-bcb6-23fab6b05923?referralCode=d3605f74-92f0-4f1c-b8e2-4ab757bffc26" TargetMode="External"/><Relationship Id="rId76" Type="http://schemas.openxmlformats.org/officeDocument/2006/relationships/hyperlink" Target="https://jobs.micro1.ai/post/159f218d-0ea1-4fdb-8bf5-693cb3a55a1c?referralCode=d3605f74-92f0-4f1c-b8e2-4ab757bffc26" TargetMode="External"/><Relationship Id="rId77" Type="http://schemas.openxmlformats.org/officeDocument/2006/relationships/hyperlink" Target="https://jobs.micro1.ai/post/d65941c5-6aff-4e80-b3d6-4f56c9aede18?referralCode=d3605f74-92f0-4f1c-b8e2-4ab757bffc26" TargetMode="External"/><Relationship Id="rId78" Type="http://schemas.openxmlformats.org/officeDocument/2006/relationships/hyperlink" Target="https://jobs.micro1.ai/post/9ece7cf2-3d00-497e-ab11-4793d1858646?referralCode=d3605f74-92f0-4f1c-b8e2-4ab757bffc26" TargetMode="External"/><Relationship Id="rId79" Type="http://schemas.openxmlformats.org/officeDocument/2006/relationships/hyperlink" Target="https://refer.micro1.ai/referral/jobs?referralCode=d3605f74-92f0-4f1c-b8e2-4ab757bffc26&amp;utm_source=referral&amp;utm_medium=share&amp;utm_campaign=job_referral" TargetMode="External"/><Relationship Id="rId80" Type="http://schemas.openxmlformats.org/officeDocument/2006/relationships/hyperlink" Target="https://jobs.micro1.ai/post/18eba353-af76-465d-989f-bb9c22216342?referralCode=d3605f74-92f0-4f1c-b8e2-4ab757bffc26" TargetMode="External"/><Relationship Id="rId81" Type="http://schemas.openxmlformats.org/officeDocument/2006/relationships/hyperlink" Target="https://jobs.micro1.ai/post/37888a94-0a87-453c-b307-1b5b02fe91ad?referralCode=d3605f74-92f0-4f1c-b8e2-4ab757bffc26" TargetMode="External"/><Relationship Id="rId82" Type="http://schemas.openxmlformats.org/officeDocument/2006/relationships/hyperlink" Target="https://jobs.micro1.ai/post/a5de9ba8-ba95-4737-b985-327e48c2b8d9?referralCode=d3605f74-92f0-4f1c-b8e2-4ab757bffc26" TargetMode="External"/><Relationship Id="rId83" Type="http://schemas.openxmlformats.org/officeDocument/2006/relationships/hyperlink" Target="https://refer.micro1.ai/referral/jobs?referralCode=d3605f74-92f0-4f1c-b8e2-4ab757bffc26&amp;utm_source=referral&amp;utm_medium=share&amp;utm_campaign=job_referral" TargetMode="External"/><Relationship Id="rId84" Type="http://schemas.openxmlformats.org/officeDocument/2006/relationships/hyperlink" Target="https://jobs.micro1.ai/post/484708eb-dd2c-4d03-bb59-34684e78579f?referralCode=d3605f74-92f0-4f1c-b8e2-4ab757bffc26" TargetMode="External"/><Relationship Id="rId85" Type="http://schemas.openxmlformats.org/officeDocument/2006/relationships/hyperlink" Target="https://jobs.micro1.ai/post/07ce7f57-ef0c-4b2e-aac2-5837c2c9c004?referralCode=d3605f74-92f0-4f1c-b8e2-4ab757bffc26" TargetMode="External"/><Relationship Id="rId86" Type="http://schemas.openxmlformats.org/officeDocument/2006/relationships/hyperlink" Target="https://jobs.micro1.ai/post/a51311c1-f926-47a1-80a3-c04aec36ee05?referralCode=d3605f74-92f0-4f1c-b8e2-4ab757bffc26" TargetMode="External"/><Relationship Id="rId87" Type="http://schemas.openxmlformats.org/officeDocument/2006/relationships/hyperlink" Target="https://jobs.micro1.ai/post/ba494132-925b-4cb6-adc7-45c9f3e2ac0a?referralCode=d3605f74-92f0-4f1c-b8e2-4ab757bffc26" TargetMode="External"/><Relationship Id="rId88" Type="http://schemas.openxmlformats.org/officeDocument/2006/relationships/hyperlink" Target="https://jobs.micro1.ai/post/0401a620-2950-4ec7-b657-a4aba61fb2a6?referralCode=d3605f74-92f0-4f1c-b8e2-4ab757bffc26" TargetMode="External"/><Relationship Id="rId89" Type="http://schemas.openxmlformats.org/officeDocument/2006/relationships/hyperlink" Target="https://jobs.micro1.ai/post/333fddbb-5e71-406c-aa0c-e88d0a33b538?referralCode=d3605f74-92f0-4f1c-b8e2-4ab757bffc26" TargetMode="External"/><Relationship Id="rId90" Type="http://schemas.openxmlformats.org/officeDocument/2006/relationships/hyperlink" Target="https://jobs.micro1.ai/post/397c7dd8-62cd-4068-a572-7addcd8a5fb2?referralCode=d3605f74-92f0-4f1c-b8e2-4ab757bffc26" TargetMode="External"/><Relationship Id="rId91" Type="http://schemas.openxmlformats.org/officeDocument/2006/relationships/hyperlink" Target="https://jobs.micro1.ai/post/6d278a40-0028-4b33-b2f0-5db4348e9297?referralCode=d3605f74-92f0-4f1c-b8e2-4ab757bffc26" TargetMode="External"/><Relationship Id="rId92" Type="http://schemas.openxmlformats.org/officeDocument/2006/relationships/hyperlink" Target="https://jobs.micro1.ai/post/68ee381e-ee71-4eca-827c-46797703bfcf?referralCode=d3605f74-92f0-4f1c-b8e2-4ab757bffc26" TargetMode="External"/><Relationship Id="rId93" Type="http://schemas.openxmlformats.org/officeDocument/2006/relationships/hyperlink" Target="https://jobs.micro1.ai/post/36d86bb0-b201-4d57-88e3-9fb0ff9fa8f6?referralCode=d3605f74-92f0-4f1c-b8e2-4ab757bffc26" TargetMode="External"/><Relationship Id="rId94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f aca="false">COUNTIF('Customer Support'!$E$5:$E$11,"Open*")</f>
        <v>1</v>
      </c>
      <c r="C5" s="6" t="n">
        <f aca="false">COUNTIF('Customer Support'!$E$5:$E$11,"Check*")</f>
        <v>4</v>
      </c>
      <c r="D5" s="6" t="n">
        <f aca="false">B5+C5</f>
        <v>5</v>
      </c>
    </row>
    <row r="6" customFormat="false" ht="15" hidden="false" customHeight="true" outlineLevel="0" collapsed="false">
      <c r="A6" s="5" t="s">
        <v>7</v>
      </c>
      <c r="B6" s="6" t="n">
        <f aca="false">COUNTIF('Sales &amp; Marketing'!$E$5:$E$12,"Open*")</f>
        <v>7</v>
      </c>
      <c r="C6" s="6" t="n">
        <f aca="false">COUNTIF('Sales &amp; Marketing'!$E$5:$E$12,"Check*")</f>
        <v>0</v>
      </c>
      <c r="D6" s="6" t="n">
        <f aca="false">B6+C6</f>
        <v>7</v>
      </c>
    </row>
    <row r="7" customFormat="false" ht="15" hidden="false" customHeight="true" outlineLevel="0" collapsed="false">
      <c r="A7" s="5" t="s">
        <v>8</v>
      </c>
      <c r="B7" s="6" t="n">
        <f aca="false">COUNTIF('Creative &amp; Content'!$E$5:$E$6,"Open*")</f>
        <v>1</v>
      </c>
      <c r="C7" s="6" t="n">
        <f aca="false">COUNTIF('Creative &amp; Content'!$E$5:$E$6,"Check*")</f>
        <v>0</v>
      </c>
      <c r="D7" s="6" t="n">
        <f aca="false">B7+C7</f>
        <v>1</v>
      </c>
    </row>
    <row r="8" customFormat="false" ht="15" hidden="false" customHeight="true" outlineLevel="0" collapsed="false">
      <c r="A8" s="5" t="s">
        <v>9</v>
      </c>
      <c r="B8" s="6" t="n">
        <f aca="false">COUNTIF('Data &amp; Tech'!$E$5:$E$15,"Open*")</f>
        <v>7</v>
      </c>
      <c r="C8" s="6" t="n">
        <f aca="false">COUNTIF('Data &amp; Tech'!$E$5:$E$15,"Check*")</f>
        <v>2</v>
      </c>
      <c r="D8" s="6" t="n">
        <f aca="false">B8+C8</f>
        <v>9</v>
      </c>
    </row>
    <row r="9" customFormat="false" ht="15" hidden="false" customHeight="true" outlineLevel="0" collapsed="false">
      <c r="A9" s="5" t="s">
        <v>10</v>
      </c>
      <c r="B9" s="6" t="n">
        <f aca="false">COUNTIF('HR &amp; Legal'!$E$5:$E$8,"Open*")</f>
        <v>0</v>
      </c>
      <c r="C9" s="6" t="n">
        <f aca="false">COUNTIF('HR &amp; Legal'!$E$5:$E$8,"Check*")</f>
        <v>2</v>
      </c>
      <c r="D9" s="6" t="n">
        <f aca="false">B9+C9</f>
        <v>2</v>
      </c>
    </row>
    <row r="10" customFormat="false" ht="15" hidden="false" customHeight="true" outlineLevel="0" collapsed="false">
      <c r="A10" s="5" t="s">
        <v>11</v>
      </c>
      <c r="B10" s="6" t="n">
        <f aca="false">COUNTA('micro1 Referral'!$C$5:$C$106)</f>
        <v>93</v>
      </c>
      <c r="C10" s="6" t="n">
        <v>0</v>
      </c>
      <c r="D10" s="6" t="n">
        <f aca="false">B10+C10</f>
        <v>93</v>
      </c>
    </row>
    <row r="11" customFormat="false" ht="15" hidden="false" customHeight="true" outlineLevel="0" collapsed="false">
      <c r="A11" s="7" t="s">
        <v>5</v>
      </c>
      <c r="B11" s="8" t="n">
        <f aca="false">SUM(B5:B10)</f>
        <v>109</v>
      </c>
      <c r="C11" s="8" t="n">
        <f aca="false">SUM(C5:C10)</f>
        <v>8</v>
      </c>
      <c r="D11" s="8" t="n">
        <f aca="false">SUM(D5:D10)</f>
        <v>117</v>
      </c>
    </row>
    <row r="13" customFormat="false" ht="15" hidden="false" customHeight="true" outlineLevel="0" collapsed="false">
      <c r="A13" s="9" t="s">
        <v>12</v>
      </c>
    </row>
    <row r="14" customFormat="false" ht="43.5" hidden="false" customHeight="true" outlineLevel="0" collapsed="false">
      <c r="A14" s="10" t="s">
        <v>13</v>
      </c>
      <c r="B14" s="10"/>
      <c r="C14" s="10"/>
      <c r="D14" s="10"/>
    </row>
    <row r="15" customFormat="false" ht="43.5" hidden="false" customHeight="true" outlineLevel="0" collapsed="false">
      <c r="A15" s="10" t="s">
        <v>14</v>
      </c>
      <c r="B15" s="10"/>
      <c r="C15" s="10"/>
      <c r="D15" s="10"/>
    </row>
    <row r="16" customFormat="false" ht="43.5" hidden="false" customHeight="true" outlineLevel="0" collapsed="false">
      <c r="A16" s="10" t="s">
        <v>15</v>
      </c>
      <c r="B16" s="10"/>
      <c r="C16" s="10"/>
      <c r="D16" s="10"/>
    </row>
    <row r="17" customFormat="false" ht="43.5" hidden="false" customHeight="true" outlineLevel="0" collapsed="false">
      <c r="A17" s="10" t="s">
        <v>16</v>
      </c>
      <c r="B17" s="10"/>
      <c r="C17" s="10"/>
      <c r="D17" s="10"/>
    </row>
  </sheetData>
  <mergeCells count="4">
    <mergeCell ref="A14:D14"/>
    <mergeCell ref="A15:D15"/>
    <mergeCell ref="A16:D16"/>
    <mergeCell ref="A17:D17"/>
  </mergeCells>
  <hyperlinks>
    <hyperlink ref="A5" r:id="rId1" location="'Customer%20Support'!A1" display="Customer Support"/>
    <hyperlink ref="A6" r:id="rId2" location="'Sales%20&amp;%20Marketing'!A1" display="Sales &amp; Marketing"/>
    <hyperlink ref="A7" r:id="rId3" location="'Creative%20&amp;%20Content'!A1" display="Creative &amp; Content"/>
    <hyperlink ref="A8" r:id="rId4" location="'Data%20&amp;%20Tech'!A1" display="Data &amp; Tech"/>
    <hyperlink ref="A9" r:id="rId5" location="'HR%20&amp;%20Legal'!A1" display="HR &amp; Legal"/>
    <hyperlink ref="A10" r:id="rId6" location="'micro1%20Referral'!A1" display="micro1 Refer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17</v>
      </c>
    </row>
    <row r="2" customFormat="false" ht="15" hidden="false" customHeight="true" outlineLevel="0" collapsed="false">
      <c r="A2" s="12" t="s">
        <v>18</v>
      </c>
    </row>
    <row r="4" customFormat="false" ht="25.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</row>
    <row r="5" customFormat="false" ht="15" hidden="false" customHeight="true" outlineLevel="0" collapsed="false">
      <c r="A5" s="13" t="s">
        <v>31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23.25" hidden="false" customHeight="true" outlineLevel="0" collapsed="false">
      <c r="A6" s="15" t="n">
        <v>1</v>
      </c>
      <c r="B6" s="16" t="s">
        <v>32</v>
      </c>
      <c r="C6" s="16" t="s">
        <v>33</v>
      </c>
      <c r="D6" s="15" t="s">
        <v>34</v>
      </c>
      <c r="E6" s="15" t="s">
        <v>4</v>
      </c>
      <c r="F6" s="15" t="s">
        <v>35</v>
      </c>
      <c r="G6" s="16" t="s">
        <v>36</v>
      </c>
      <c r="H6" s="16" t="s">
        <v>37</v>
      </c>
      <c r="I6" s="15" t="s">
        <v>38</v>
      </c>
      <c r="J6" s="15" t="s">
        <v>39</v>
      </c>
      <c r="K6" s="17" t="s">
        <v>40</v>
      </c>
      <c r="L6" s="16" t="s">
        <v>41</v>
      </c>
    </row>
    <row r="7" customFormat="false" ht="23.25" hidden="false" customHeight="true" outlineLevel="0" collapsed="false">
      <c r="A7" s="15" t="n">
        <v>2</v>
      </c>
      <c r="B7" s="16" t="s">
        <v>42</v>
      </c>
      <c r="C7" s="16" t="s">
        <v>43</v>
      </c>
      <c r="D7" s="15" t="s">
        <v>44</v>
      </c>
      <c r="E7" s="15" t="s">
        <v>4</v>
      </c>
      <c r="F7" s="15" t="s">
        <v>45</v>
      </c>
      <c r="G7" s="16" t="s">
        <v>36</v>
      </c>
      <c r="H7" s="16" t="s">
        <v>46</v>
      </c>
      <c r="I7" s="15" t="s">
        <v>47</v>
      </c>
      <c r="J7" s="15" t="s">
        <v>48</v>
      </c>
      <c r="K7" s="17" t="s">
        <v>40</v>
      </c>
      <c r="L7" s="16" t="s">
        <v>49</v>
      </c>
    </row>
    <row r="8" customFormat="false" ht="23.25" hidden="false" customHeight="true" outlineLevel="0" collapsed="false">
      <c r="A8" s="15" t="n">
        <v>3</v>
      </c>
      <c r="B8" s="16" t="s">
        <v>42</v>
      </c>
      <c r="C8" s="16" t="s">
        <v>43</v>
      </c>
      <c r="D8" s="15" t="s">
        <v>50</v>
      </c>
      <c r="E8" s="15" t="s">
        <v>4</v>
      </c>
      <c r="F8" s="15" t="s">
        <v>45</v>
      </c>
      <c r="G8" s="16" t="s">
        <v>36</v>
      </c>
      <c r="H8" s="16" t="s">
        <v>51</v>
      </c>
      <c r="I8" s="15" t="s">
        <v>47</v>
      </c>
      <c r="J8" s="15" t="s">
        <v>48</v>
      </c>
      <c r="K8" s="17" t="s">
        <v>40</v>
      </c>
      <c r="L8" s="16" t="s">
        <v>52</v>
      </c>
    </row>
    <row r="9" customFormat="false" ht="15" hidden="false" customHeight="true" outlineLevel="0" collapsed="false">
      <c r="A9" s="13" t="s">
        <v>53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23.25" hidden="false" customHeight="true" outlineLevel="0" collapsed="false">
      <c r="A10" s="15" t="n">
        <v>4</v>
      </c>
      <c r="B10" s="16" t="s">
        <v>54</v>
      </c>
      <c r="C10" s="16" t="s">
        <v>55</v>
      </c>
      <c r="D10" s="15" t="s">
        <v>56</v>
      </c>
      <c r="E10" s="15" t="s">
        <v>3</v>
      </c>
      <c r="F10" s="15" t="s">
        <v>57</v>
      </c>
      <c r="G10" s="16" t="s">
        <v>58</v>
      </c>
      <c r="H10" s="16" t="s">
        <v>59</v>
      </c>
      <c r="I10" s="15" t="s">
        <v>47</v>
      </c>
      <c r="J10" s="15" t="s">
        <v>60</v>
      </c>
      <c r="K10" s="17" t="s">
        <v>40</v>
      </c>
      <c r="L10" s="16"/>
    </row>
    <row r="11" customFormat="false" ht="23.25" hidden="false" customHeight="true" outlineLevel="0" collapsed="false">
      <c r="A11" s="15" t="n">
        <v>5</v>
      </c>
      <c r="B11" s="16" t="s">
        <v>61</v>
      </c>
      <c r="C11" s="16" t="s">
        <v>62</v>
      </c>
      <c r="D11" s="15" t="s">
        <v>63</v>
      </c>
      <c r="E11" s="15" t="s">
        <v>4</v>
      </c>
      <c r="F11" s="15" t="s">
        <v>64</v>
      </c>
      <c r="G11" s="16" t="s">
        <v>65</v>
      </c>
      <c r="H11" s="16" t="s">
        <v>66</v>
      </c>
      <c r="I11" s="15" t="s">
        <v>67</v>
      </c>
      <c r="J11" s="15" t="s">
        <v>39</v>
      </c>
      <c r="K11" s="17" t="s">
        <v>40</v>
      </c>
      <c r="L11" s="16" t="s">
        <v>68</v>
      </c>
    </row>
  </sheetData>
  <autoFilter ref="A4:L11"/>
  <conditionalFormatting sqref="E5:E11">
    <cfRule type="expression" priority="2" aboveAverage="0" equalAverage="0" bottom="0" percent="0" rank="0" text="" dxfId="11">
      <formula>LEFT($E5,4)="Open"</formula>
    </cfRule>
    <cfRule type="expression" priority="3" aboveAverage="0" equalAverage="0" bottom="0" percent="0" rank="0" text="" dxfId="12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10" r:id="rId4" display="Apply ↗"/>
    <hyperlink ref="K11" r:id="rId5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69</v>
      </c>
    </row>
    <row r="2" customFormat="false" ht="15" hidden="false" customHeight="true" outlineLevel="0" collapsed="false">
      <c r="A2" s="12" t="s">
        <v>18</v>
      </c>
    </row>
    <row r="4" customFormat="false" ht="25.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</row>
    <row r="5" customFormat="false" ht="15" hidden="false" customHeight="true" outlineLevel="0" collapsed="false">
      <c r="A5" s="13" t="s">
        <v>53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23.25" hidden="false" customHeight="true" outlineLevel="0" collapsed="false">
      <c r="A6" s="15" t="n">
        <v>1</v>
      </c>
      <c r="B6" s="16" t="s">
        <v>70</v>
      </c>
      <c r="C6" s="16" t="s">
        <v>71</v>
      </c>
      <c r="D6" s="15" t="s">
        <v>72</v>
      </c>
      <c r="E6" s="15" t="s">
        <v>3</v>
      </c>
      <c r="F6" s="15" t="s">
        <v>73</v>
      </c>
      <c r="G6" s="16" t="s">
        <v>74</v>
      </c>
      <c r="H6" s="16" t="s">
        <v>75</v>
      </c>
      <c r="I6" s="15" t="s">
        <v>76</v>
      </c>
      <c r="J6" s="15" t="s">
        <v>60</v>
      </c>
      <c r="K6" s="17" t="s">
        <v>40</v>
      </c>
      <c r="L6" s="16"/>
    </row>
    <row r="7" customFormat="false" ht="15" hidden="false" customHeight="true" outlineLevel="0" collapsed="false">
      <c r="A7" s="15" t="n">
        <v>2</v>
      </c>
      <c r="B7" s="16" t="s">
        <v>61</v>
      </c>
      <c r="C7" s="16" t="s">
        <v>77</v>
      </c>
      <c r="D7" s="15" t="s">
        <v>78</v>
      </c>
      <c r="E7" s="15" t="s">
        <v>3</v>
      </c>
      <c r="F7" s="15" t="s">
        <v>79</v>
      </c>
      <c r="G7" s="16" t="s">
        <v>36</v>
      </c>
      <c r="H7" s="16" t="s">
        <v>80</v>
      </c>
      <c r="I7" s="15" t="s">
        <v>67</v>
      </c>
      <c r="J7" s="15" t="s">
        <v>60</v>
      </c>
      <c r="K7" s="17" t="s">
        <v>40</v>
      </c>
      <c r="L7" s="16"/>
    </row>
    <row r="8" customFormat="false" ht="23.25" hidden="false" customHeight="true" outlineLevel="0" collapsed="false">
      <c r="A8" s="15" t="n">
        <v>3</v>
      </c>
      <c r="B8" s="16" t="s">
        <v>81</v>
      </c>
      <c r="C8" s="16" t="s">
        <v>82</v>
      </c>
      <c r="D8" s="15" t="s">
        <v>83</v>
      </c>
      <c r="E8" s="15" t="s">
        <v>3</v>
      </c>
      <c r="F8" s="15" t="s">
        <v>84</v>
      </c>
      <c r="G8" s="16" t="s">
        <v>85</v>
      </c>
      <c r="H8" s="16" t="s">
        <v>86</v>
      </c>
      <c r="I8" s="15" t="s">
        <v>47</v>
      </c>
      <c r="J8" s="15" t="s">
        <v>48</v>
      </c>
      <c r="K8" s="17" t="s">
        <v>40</v>
      </c>
      <c r="L8" s="16"/>
    </row>
    <row r="9" customFormat="false" ht="23.25" hidden="false" customHeight="true" outlineLevel="0" collapsed="false">
      <c r="A9" s="15" t="n">
        <v>4</v>
      </c>
      <c r="B9" s="16" t="s">
        <v>81</v>
      </c>
      <c r="C9" s="16" t="s">
        <v>87</v>
      </c>
      <c r="D9" s="15" t="s">
        <v>83</v>
      </c>
      <c r="E9" s="15" t="s">
        <v>3</v>
      </c>
      <c r="F9" s="15" t="s">
        <v>88</v>
      </c>
      <c r="G9" s="16" t="s">
        <v>89</v>
      </c>
      <c r="H9" s="16" t="s">
        <v>90</v>
      </c>
      <c r="I9" s="15" t="s">
        <v>47</v>
      </c>
      <c r="J9" s="15" t="s">
        <v>48</v>
      </c>
      <c r="K9" s="17" t="s">
        <v>40</v>
      </c>
      <c r="L9" s="16"/>
    </row>
    <row r="10" customFormat="false" ht="23.25" hidden="false" customHeight="true" outlineLevel="0" collapsed="false">
      <c r="A10" s="15" t="n">
        <v>5</v>
      </c>
      <c r="B10" s="16" t="s">
        <v>91</v>
      </c>
      <c r="C10" s="16" t="s">
        <v>92</v>
      </c>
      <c r="D10" s="15" t="s">
        <v>83</v>
      </c>
      <c r="E10" s="15" t="s">
        <v>3</v>
      </c>
      <c r="F10" s="15" t="s">
        <v>84</v>
      </c>
      <c r="G10" s="16" t="s">
        <v>36</v>
      </c>
      <c r="H10" s="16" t="s">
        <v>93</v>
      </c>
      <c r="I10" s="15" t="s">
        <v>47</v>
      </c>
      <c r="J10" s="15" t="s">
        <v>36</v>
      </c>
      <c r="K10" s="17" t="s">
        <v>40</v>
      </c>
      <c r="L10" s="16"/>
    </row>
    <row r="11" customFormat="false" ht="23.25" hidden="false" customHeight="true" outlineLevel="0" collapsed="false">
      <c r="A11" s="15" t="n">
        <v>6</v>
      </c>
      <c r="B11" s="16" t="s">
        <v>81</v>
      </c>
      <c r="C11" s="16" t="s">
        <v>94</v>
      </c>
      <c r="D11" s="15" t="s">
        <v>83</v>
      </c>
      <c r="E11" s="15" t="s">
        <v>3</v>
      </c>
      <c r="F11" s="15" t="s">
        <v>79</v>
      </c>
      <c r="G11" s="16" t="s">
        <v>95</v>
      </c>
      <c r="H11" s="16" t="s">
        <v>96</v>
      </c>
      <c r="I11" s="15" t="s">
        <v>47</v>
      </c>
      <c r="J11" s="15" t="s">
        <v>48</v>
      </c>
      <c r="K11" s="17" t="s">
        <v>40</v>
      </c>
      <c r="L11" s="16"/>
    </row>
    <row r="12" customFormat="false" ht="23.25" hidden="false" customHeight="true" outlineLevel="0" collapsed="false">
      <c r="A12" s="15" t="n">
        <v>7</v>
      </c>
      <c r="B12" s="16" t="s">
        <v>81</v>
      </c>
      <c r="C12" s="16" t="s">
        <v>97</v>
      </c>
      <c r="D12" s="15" t="s">
        <v>83</v>
      </c>
      <c r="E12" s="15" t="s">
        <v>3</v>
      </c>
      <c r="F12" s="15" t="s">
        <v>73</v>
      </c>
      <c r="G12" s="16" t="s">
        <v>98</v>
      </c>
      <c r="H12" s="16" t="s">
        <v>99</v>
      </c>
      <c r="I12" s="15" t="s">
        <v>47</v>
      </c>
      <c r="J12" s="15" t="s">
        <v>48</v>
      </c>
      <c r="K12" s="17" t="s">
        <v>40</v>
      </c>
      <c r="L12" s="16"/>
    </row>
  </sheetData>
  <autoFilter ref="A4:L12"/>
  <conditionalFormatting sqref="E5:E12">
    <cfRule type="expression" priority="2" aboveAverage="0" equalAverage="0" bottom="0" percent="0" rank="0" text="" dxfId="11">
      <formula>LEFT($E5,4)="Open"</formula>
    </cfRule>
    <cfRule type="expression" priority="3" aboveAverage="0" equalAverage="0" bottom="0" percent="0" rank="0" text="" dxfId="12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  <hyperlink ref="K11" r:id="rId6" display="Apply ↗"/>
    <hyperlink ref="K12" r:id="rId7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100</v>
      </c>
    </row>
    <row r="2" customFormat="false" ht="15" hidden="false" customHeight="true" outlineLevel="0" collapsed="false">
      <c r="A2" s="12" t="s">
        <v>18</v>
      </c>
    </row>
    <row r="4" customFormat="false" ht="25.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</row>
    <row r="5" customFormat="false" ht="15" hidden="false" customHeight="true" outlineLevel="0" collapsed="false">
      <c r="A5" s="13" t="s">
        <v>31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15" hidden="false" customHeight="true" outlineLevel="0" collapsed="false">
      <c r="A6" s="15" t="n">
        <v>1</v>
      </c>
      <c r="B6" s="16" t="s">
        <v>101</v>
      </c>
      <c r="C6" s="16" t="s">
        <v>102</v>
      </c>
      <c r="D6" s="15" t="s">
        <v>103</v>
      </c>
      <c r="E6" s="15" t="s">
        <v>3</v>
      </c>
      <c r="F6" s="15" t="s">
        <v>79</v>
      </c>
      <c r="G6" s="16" t="s">
        <v>36</v>
      </c>
      <c r="H6" s="16" t="s">
        <v>104</v>
      </c>
      <c r="I6" s="15" t="s">
        <v>47</v>
      </c>
      <c r="J6" s="15" t="s">
        <v>60</v>
      </c>
      <c r="K6" s="17" t="s">
        <v>40</v>
      </c>
      <c r="L6" s="16"/>
    </row>
  </sheetData>
  <autoFilter ref="A4:L6"/>
  <conditionalFormatting sqref="E5:E6">
    <cfRule type="expression" priority="2" aboveAverage="0" equalAverage="0" bottom="0" percent="0" rank="0" text="" dxfId="11">
      <formula>LEFT($E5,4)="Open"</formula>
    </cfRule>
    <cfRule type="expression" priority="3" aboveAverage="0" equalAverage="0" bottom="0" percent="0" rank="0" text="" dxfId="12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105</v>
      </c>
    </row>
    <row r="2" customFormat="false" ht="15" hidden="false" customHeight="true" outlineLevel="0" collapsed="false">
      <c r="A2" s="12" t="s">
        <v>18</v>
      </c>
    </row>
    <row r="4" customFormat="false" ht="25.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</row>
    <row r="5" customFormat="false" ht="15" hidden="false" customHeight="true" outlineLevel="0" collapsed="false">
      <c r="A5" s="13" t="s">
        <v>31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15" hidden="false" customHeight="true" outlineLevel="0" collapsed="false">
      <c r="A6" s="15" t="n">
        <v>1</v>
      </c>
      <c r="B6" s="16" t="s">
        <v>106</v>
      </c>
      <c r="C6" s="16" t="s">
        <v>107</v>
      </c>
      <c r="D6" s="15" t="s">
        <v>108</v>
      </c>
      <c r="E6" s="15" t="s">
        <v>3</v>
      </c>
      <c r="F6" s="15" t="s">
        <v>73</v>
      </c>
      <c r="G6" s="16" t="s">
        <v>36</v>
      </c>
      <c r="H6" s="16" t="s">
        <v>109</v>
      </c>
      <c r="I6" s="15" t="s">
        <v>47</v>
      </c>
      <c r="J6" s="15" t="s">
        <v>48</v>
      </c>
      <c r="K6" s="17" t="s">
        <v>40</v>
      </c>
      <c r="L6" s="16"/>
    </row>
    <row r="7" customFormat="false" ht="15" hidden="false" customHeight="true" outlineLevel="0" collapsed="false">
      <c r="A7" s="15" t="n">
        <v>2</v>
      </c>
      <c r="B7" s="16" t="s">
        <v>106</v>
      </c>
      <c r="C7" s="16" t="s">
        <v>110</v>
      </c>
      <c r="D7" s="15" t="s">
        <v>108</v>
      </c>
      <c r="E7" s="15" t="s">
        <v>3</v>
      </c>
      <c r="F7" s="15" t="s">
        <v>111</v>
      </c>
      <c r="G7" s="16" t="s">
        <v>36</v>
      </c>
      <c r="H7" s="16" t="s">
        <v>112</v>
      </c>
      <c r="I7" s="15" t="s">
        <v>47</v>
      </c>
      <c r="J7" s="15" t="s">
        <v>48</v>
      </c>
      <c r="K7" s="17" t="s">
        <v>40</v>
      </c>
      <c r="L7" s="16"/>
    </row>
    <row r="8" customFormat="false" ht="15" hidden="false" customHeight="true" outlineLevel="0" collapsed="false">
      <c r="A8" s="15" t="n">
        <v>3</v>
      </c>
      <c r="B8" s="16" t="s">
        <v>106</v>
      </c>
      <c r="C8" s="16" t="s">
        <v>113</v>
      </c>
      <c r="D8" s="15" t="s">
        <v>108</v>
      </c>
      <c r="E8" s="15" t="s">
        <v>3</v>
      </c>
      <c r="F8" s="15" t="s">
        <v>111</v>
      </c>
      <c r="G8" s="16" t="s">
        <v>36</v>
      </c>
      <c r="H8" s="16" t="s">
        <v>114</v>
      </c>
      <c r="I8" s="15" t="s">
        <v>47</v>
      </c>
      <c r="J8" s="15" t="s">
        <v>48</v>
      </c>
      <c r="K8" s="17" t="s">
        <v>40</v>
      </c>
      <c r="L8" s="16"/>
    </row>
    <row r="9" customFormat="false" ht="15" hidden="false" customHeight="true" outlineLevel="0" collapsed="false">
      <c r="A9" s="15" t="n">
        <v>4</v>
      </c>
      <c r="B9" s="16" t="s">
        <v>115</v>
      </c>
      <c r="C9" s="16" t="s">
        <v>116</v>
      </c>
      <c r="D9" s="15" t="s">
        <v>117</v>
      </c>
      <c r="E9" s="15" t="s">
        <v>3</v>
      </c>
      <c r="F9" s="15" t="s">
        <v>57</v>
      </c>
      <c r="G9" s="16" t="s">
        <v>36</v>
      </c>
      <c r="H9" s="16" t="s">
        <v>118</v>
      </c>
      <c r="I9" s="15" t="s">
        <v>47</v>
      </c>
      <c r="J9" s="15" t="s">
        <v>60</v>
      </c>
      <c r="K9" s="17" t="s">
        <v>40</v>
      </c>
      <c r="L9" s="16"/>
    </row>
    <row r="10" customFormat="false" ht="15" hidden="false" customHeight="true" outlineLevel="0" collapsed="false">
      <c r="A10" s="15" t="n">
        <v>5</v>
      </c>
      <c r="B10" s="16" t="s">
        <v>119</v>
      </c>
      <c r="C10" s="16" t="s">
        <v>120</v>
      </c>
      <c r="D10" s="15" t="s">
        <v>121</v>
      </c>
      <c r="E10" s="15" t="s">
        <v>3</v>
      </c>
      <c r="F10" s="15" t="s">
        <v>79</v>
      </c>
      <c r="G10" s="16" t="s">
        <v>122</v>
      </c>
      <c r="H10" s="16" t="s">
        <v>123</v>
      </c>
      <c r="I10" s="15" t="s">
        <v>47</v>
      </c>
      <c r="J10" s="15" t="s">
        <v>60</v>
      </c>
      <c r="K10" s="17" t="s">
        <v>40</v>
      </c>
      <c r="L10" s="16"/>
    </row>
    <row r="11" customFormat="false" ht="15" hidden="false" customHeight="true" outlineLevel="0" collapsed="false">
      <c r="A11" s="13" t="s">
        <v>53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Format="false" ht="15" hidden="false" customHeight="true" outlineLevel="0" collapsed="false">
      <c r="A12" s="15" t="n">
        <v>6</v>
      </c>
      <c r="B12" s="16" t="s">
        <v>61</v>
      </c>
      <c r="C12" s="16" t="s">
        <v>124</v>
      </c>
      <c r="D12" s="15" t="s">
        <v>78</v>
      </c>
      <c r="E12" s="15" t="s">
        <v>3</v>
      </c>
      <c r="F12" s="15" t="s">
        <v>79</v>
      </c>
      <c r="G12" s="16" t="s">
        <v>36</v>
      </c>
      <c r="H12" s="16" t="s">
        <v>125</v>
      </c>
      <c r="I12" s="15" t="s">
        <v>67</v>
      </c>
      <c r="J12" s="15" t="s">
        <v>126</v>
      </c>
      <c r="K12" s="17" t="s">
        <v>40</v>
      </c>
      <c r="L12" s="16"/>
    </row>
    <row r="13" customFormat="false" ht="34.5" hidden="false" customHeight="true" outlineLevel="0" collapsed="false">
      <c r="A13" s="15" t="n">
        <v>7</v>
      </c>
      <c r="B13" s="16" t="s">
        <v>127</v>
      </c>
      <c r="C13" s="16" t="s">
        <v>128</v>
      </c>
      <c r="D13" s="15" t="s">
        <v>129</v>
      </c>
      <c r="E13" s="15" t="s">
        <v>3</v>
      </c>
      <c r="F13" s="15" t="s">
        <v>79</v>
      </c>
      <c r="G13" s="16" t="s">
        <v>36</v>
      </c>
      <c r="H13" s="16" t="s">
        <v>130</v>
      </c>
      <c r="I13" s="15" t="s">
        <v>47</v>
      </c>
      <c r="J13" s="15" t="s">
        <v>126</v>
      </c>
      <c r="K13" s="17" t="s">
        <v>40</v>
      </c>
      <c r="L13" s="16"/>
    </row>
    <row r="14" customFormat="false" ht="23.25" hidden="false" customHeight="true" outlineLevel="0" collapsed="false">
      <c r="A14" s="15" t="n">
        <v>8</v>
      </c>
      <c r="B14" s="16" t="s">
        <v>131</v>
      </c>
      <c r="C14" s="16" t="s">
        <v>132</v>
      </c>
      <c r="D14" s="15" t="s">
        <v>83</v>
      </c>
      <c r="E14" s="15" t="s">
        <v>4</v>
      </c>
      <c r="F14" s="15" t="s">
        <v>133</v>
      </c>
      <c r="G14" s="16" t="s">
        <v>134</v>
      </c>
      <c r="H14" s="16" t="s">
        <v>135</v>
      </c>
      <c r="I14" s="15" t="s">
        <v>47</v>
      </c>
      <c r="J14" s="15" t="s">
        <v>36</v>
      </c>
      <c r="K14" s="17" t="s">
        <v>40</v>
      </c>
      <c r="L14" s="16" t="s">
        <v>136</v>
      </c>
    </row>
    <row r="15" customFormat="false" ht="23.25" hidden="false" customHeight="true" outlineLevel="0" collapsed="false">
      <c r="A15" s="15" t="n">
        <v>9</v>
      </c>
      <c r="B15" s="16" t="s">
        <v>131</v>
      </c>
      <c r="C15" s="16" t="s">
        <v>137</v>
      </c>
      <c r="D15" s="15" t="s">
        <v>83</v>
      </c>
      <c r="E15" s="15" t="s">
        <v>4</v>
      </c>
      <c r="F15" s="15" t="s">
        <v>79</v>
      </c>
      <c r="G15" s="16" t="s">
        <v>138</v>
      </c>
      <c r="H15" s="16" t="s">
        <v>139</v>
      </c>
      <c r="I15" s="15" t="s">
        <v>47</v>
      </c>
      <c r="J15" s="15" t="s">
        <v>36</v>
      </c>
      <c r="K15" s="17" t="s">
        <v>40</v>
      </c>
      <c r="L15" s="16" t="s">
        <v>136</v>
      </c>
    </row>
  </sheetData>
  <autoFilter ref="A4:L15"/>
  <conditionalFormatting sqref="E5:E15">
    <cfRule type="expression" priority="2" aboveAverage="0" equalAverage="0" bottom="0" percent="0" rank="0" text="" dxfId="11">
      <formula>LEFT($E5,4)="Open"</formula>
    </cfRule>
    <cfRule type="expression" priority="3" aboveAverage="0" equalAverage="0" bottom="0" percent="0" rank="0" text="" dxfId="12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  <hyperlink ref="K12" r:id="rId6" display="Apply ↗"/>
    <hyperlink ref="K13" r:id="rId7" display="Apply ↗"/>
    <hyperlink ref="K14" r:id="rId8" display="Apply ↗"/>
    <hyperlink ref="K15" r:id="rId9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140</v>
      </c>
    </row>
    <row r="2" customFormat="false" ht="15" hidden="false" customHeight="true" outlineLevel="0" collapsed="false">
      <c r="A2" s="12" t="s">
        <v>18</v>
      </c>
    </row>
    <row r="4" customFormat="false" ht="25.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</row>
    <row r="5" customFormat="false" ht="15" hidden="false" customHeight="true" outlineLevel="0" collapsed="false">
      <c r="A5" s="13" t="s">
        <v>31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23.25" hidden="false" customHeight="true" outlineLevel="0" collapsed="false">
      <c r="A6" s="15" t="n">
        <v>1</v>
      </c>
      <c r="B6" s="16" t="s">
        <v>141</v>
      </c>
      <c r="C6" s="16" t="s">
        <v>142</v>
      </c>
      <c r="D6" s="15" t="s">
        <v>143</v>
      </c>
      <c r="E6" s="15" t="s">
        <v>4</v>
      </c>
      <c r="F6" s="15" t="s">
        <v>144</v>
      </c>
      <c r="G6" s="16" t="s">
        <v>36</v>
      </c>
      <c r="H6" s="16" t="s">
        <v>145</v>
      </c>
      <c r="I6" s="15" t="s">
        <v>38</v>
      </c>
      <c r="J6" s="15" t="s">
        <v>60</v>
      </c>
      <c r="K6" s="17" t="s">
        <v>40</v>
      </c>
      <c r="L6" s="16" t="s">
        <v>146</v>
      </c>
    </row>
    <row r="7" customFormat="false" ht="15" hidden="false" customHeight="true" outlineLevel="0" collapsed="false">
      <c r="A7" s="13" t="s">
        <v>53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customFormat="false" ht="23.25" hidden="false" customHeight="true" outlineLevel="0" collapsed="false">
      <c r="A8" s="15" t="n">
        <v>2</v>
      </c>
      <c r="B8" s="16" t="s">
        <v>147</v>
      </c>
      <c r="C8" s="16" t="s">
        <v>148</v>
      </c>
      <c r="D8" s="15" t="s">
        <v>72</v>
      </c>
      <c r="E8" s="15" t="s">
        <v>4</v>
      </c>
      <c r="F8" s="15" t="s">
        <v>149</v>
      </c>
      <c r="G8" s="16" t="s">
        <v>150</v>
      </c>
      <c r="H8" s="16" t="s">
        <v>151</v>
      </c>
      <c r="I8" s="15" t="s">
        <v>76</v>
      </c>
      <c r="J8" s="15" t="s">
        <v>60</v>
      </c>
      <c r="K8" s="17" t="s">
        <v>40</v>
      </c>
      <c r="L8" s="16" t="s">
        <v>152</v>
      </c>
    </row>
  </sheetData>
  <autoFilter ref="A4:L8"/>
  <conditionalFormatting sqref="E5:E8">
    <cfRule type="expression" priority="2" aboveAverage="0" equalAverage="0" bottom="0" percent="0" rank="0" text="" dxfId="11">
      <formula>LEFT($E5,4)="Open"</formula>
    </cfRule>
    <cfRule type="expression" priority="3" aboveAverage="0" equalAverage="0" bottom="0" percent="0" rank="0" text="" dxfId="12">
      <formula>LEFT($E5,5)="Check"</formula>
    </cfRule>
  </conditionalFormatting>
  <hyperlinks>
    <hyperlink ref="K6" r:id="rId1" display="Apply ↗"/>
    <hyperlink ref="K8" r:id="rId2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8"/>
    <col collapsed="false" customWidth="true" hidden="false" outlineLevel="0" max="4" min="4" style="1" width="20"/>
    <col collapsed="false" customWidth="true" hidden="false" outlineLevel="0" max="6" min="5" style="1" width="10"/>
    <col collapsed="false" customWidth="true" hidden="false" outlineLevel="0" max="7" min="7" style="1" width="16"/>
    <col collapsed="false" customWidth="true" hidden="false" outlineLevel="0" max="8" min="8" style="1" width="44"/>
  </cols>
  <sheetData>
    <row r="1" customFormat="false" ht="17.25" hidden="false" customHeight="true" outlineLevel="0" collapsed="false">
      <c r="A1" s="11" t="s">
        <v>153</v>
      </c>
    </row>
    <row r="2" customFormat="false" ht="15" hidden="false" customHeight="true" outlineLevel="0" collapsed="false">
      <c r="A2" s="12" t="s">
        <v>154</v>
      </c>
    </row>
    <row r="4" customFormat="false" ht="25.5" hidden="false" customHeight="true" outlineLevel="0" collapsed="false">
      <c r="A4" s="4" t="s">
        <v>19</v>
      </c>
      <c r="B4" s="4" t="s">
        <v>155</v>
      </c>
      <c r="C4" s="4" t="s">
        <v>21</v>
      </c>
      <c r="D4" s="4" t="s">
        <v>156</v>
      </c>
      <c r="E4" s="4" t="s">
        <v>157</v>
      </c>
      <c r="F4" s="4" t="s">
        <v>28</v>
      </c>
      <c r="G4" s="4" t="s">
        <v>158</v>
      </c>
      <c r="H4" s="4" t="s">
        <v>30</v>
      </c>
    </row>
    <row r="5" customFormat="false" ht="15" hidden="false" customHeight="true" outlineLevel="0" collapsed="false">
      <c r="A5" s="13" t="s">
        <v>159</v>
      </c>
      <c r="B5" s="14"/>
      <c r="C5" s="14"/>
      <c r="D5" s="14"/>
      <c r="E5" s="14"/>
      <c r="F5" s="14"/>
      <c r="G5" s="14"/>
      <c r="H5" s="14"/>
    </row>
    <row r="6" customFormat="false" ht="15" hidden="false" customHeight="true" outlineLevel="0" collapsed="false">
      <c r="A6" s="15" t="n">
        <v>1</v>
      </c>
      <c r="B6" s="15" t="s">
        <v>160</v>
      </c>
      <c r="C6" s="16" t="s">
        <v>161</v>
      </c>
      <c r="D6" s="15" t="s">
        <v>162</v>
      </c>
      <c r="E6" s="15" t="n">
        <v>50</v>
      </c>
      <c r="F6" s="15" t="s">
        <v>48</v>
      </c>
      <c r="G6" s="17" t="s">
        <v>40</v>
      </c>
      <c r="H6" s="16"/>
    </row>
    <row r="7" customFormat="false" ht="15" hidden="false" customHeight="true" outlineLevel="0" collapsed="false">
      <c r="A7" s="15" t="n">
        <v>2</v>
      </c>
      <c r="B7" s="15" t="s">
        <v>160</v>
      </c>
      <c r="C7" s="16" t="s">
        <v>163</v>
      </c>
      <c r="D7" s="15" t="s">
        <v>164</v>
      </c>
      <c r="E7" s="15" t="n">
        <v>10</v>
      </c>
      <c r="F7" s="15" t="s">
        <v>165</v>
      </c>
      <c r="G7" s="17" t="s">
        <v>40</v>
      </c>
      <c r="H7" s="16"/>
    </row>
    <row r="8" customFormat="false" ht="15" hidden="false" customHeight="true" outlineLevel="0" collapsed="false">
      <c r="A8" s="15" t="n">
        <v>3</v>
      </c>
      <c r="B8" s="15" t="s">
        <v>160</v>
      </c>
      <c r="C8" s="16" t="s">
        <v>166</v>
      </c>
      <c r="D8" s="15" t="s">
        <v>164</v>
      </c>
      <c r="E8" s="15" t="n">
        <v>10</v>
      </c>
      <c r="F8" s="15" t="s">
        <v>165</v>
      </c>
      <c r="G8" s="17" t="s">
        <v>40</v>
      </c>
      <c r="H8" s="16"/>
    </row>
    <row r="9" customFormat="false" ht="15" hidden="false" customHeight="true" outlineLevel="0" collapsed="false">
      <c r="A9" s="15" t="n">
        <v>4</v>
      </c>
      <c r="B9" s="15" t="s">
        <v>160</v>
      </c>
      <c r="C9" s="16" t="s">
        <v>167</v>
      </c>
      <c r="D9" s="15" t="s">
        <v>168</v>
      </c>
      <c r="E9" s="15" t="n">
        <v>20</v>
      </c>
      <c r="F9" s="15" t="s">
        <v>169</v>
      </c>
      <c r="G9" s="17" t="s">
        <v>40</v>
      </c>
      <c r="H9" s="16"/>
    </row>
    <row r="10" customFormat="false" ht="15" hidden="false" customHeight="true" outlineLevel="0" collapsed="false">
      <c r="A10" s="15" t="n">
        <v>5</v>
      </c>
      <c r="B10" s="15" t="s">
        <v>160</v>
      </c>
      <c r="C10" s="16" t="s">
        <v>170</v>
      </c>
      <c r="D10" s="15" t="s">
        <v>171</v>
      </c>
      <c r="E10" s="15" t="n">
        <v>30</v>
      </c>
      <c r="F10" s="15" t="s">
        <v>172</v>
      </c>
      <c r="G10" s="17" t="s">
        <v>40</v>
      </c>
      <c r="H10" s="16"/>
    </row>
    <row r="11" customFormat="false" ht="15" hidden="false" customHeight="true" outlineLevel="0" collapsed="false">
      <c r="A11" s="15" t="n">
        <v>6</v>
      </c>
      <c r="B11" s="15" t="s">
        <v>160</v>
      </c>
      <c r="C11" s="16" t="s">
        <v>173</v>
      </c>
      <c r="D11" s="15" t="s">
        <v>174</v>
      </c>
      <c r="E11" s="15" t="n">
        <v>50</v>
      </c>
      <c r="F11" s="15" t="s">
        <v>172</v>
      </c>
      <c r="G11" s="17" t="s">
        <v>40</v>
      </c>
      <c r="H11" s="16"/>
    </row>
    <row r="12" customFormat="false" ht="15" hidden="false" customHeight="true" outlineLevel="0" collapsed="false">
      <c r="A12" s="15" t="n">
        <v>7</v>
      </c>
      <c r="B12" s="15" t="s">
        <v>160</v>
      </c>
      <c r="C12" s="16" t="s">
        <v>175</v>
      </c>
      <c r="D12" s="15" t="s">
        <v>174</v>
      </c>
      <c r="E12" s="15" t="n">
        <v>50</v>
      </c>
      <c r="F12" s="15" t="s">
        <v>176</v>
      </c>
      <c r="G12" s="17" t="s">
        <v>40</v>
      </c>
      <c r="H12" s="16"/>
    </row>
    <row r="13" customFormat="false" ht="15" hidden="false" customHeight="true" outlineLevel="0" collapsed="false">
      <c r="A13" s="13" t="s">
        <v>177</v>
      </c>
      <c r="B13" s="14"/>
      <c r="C13" s="14"/>
      <c r="D13" s="14"/>
      <c r="E13" s="14"/>
      <c r="F13" s="14"/>
      <c r="G13" s="14"/>
      <c r="H13" s="14"/>
    </row>
    <row r="14" customFormat="false" ht="15" hidden="false" customHeight="true" outlineLevel="0" collapsed="false">
      <c r="A14" s="15" t="n">
        <v>8</v>
      </c>
      <c r="B14" s="15" t="s">
        <v>178</v>
      </c>
      <c r="C14" s="16" t="s">
        <v>179</v>
      </c>
      <c r="D14" s="15" t="s">
        <v>180</v>
      </c>
      <c r="E14" s="15" t="n">
        <v>10</v>
      </c>
      <c r="F14" s="15" t="s">
        <v>48</v>
      </c>
      <c r="G14" s="17" t="s">
        <v>40</v>
      </c>
      <c r="H14" s="16"/>
    </row>
    <row r="15" customFormat="false" ht="15" hidden="false" customHeight="true" outlineLevel="0" collapsed="false">
      <c r="A15" s="15" t="n">
        <v>9</v>
      </c>
      <c r="B15" s="15" t="s">
        <v>178</v>
      </c>
      <c r="C15" s="16" t="s">
        <v>181</v>
      </c>
      <c r="D15" s="15" t="s">
        <v>180</v>
      </c>
      <c r="E15" s="15" t="n">
        <v>20</v>
      </c>
      <c r="F15" s="15" t="s">
        <v>48</v>
      </c>
      <c r="G15" s="17" t="s">
        <v>40</v>
      </c>
      <c r="H15" s="16"/>
    </row>
    <row r="16" customFormat="false" ht="15" hidden="false" customHeight="true" outlineLevel="0" collapsed="false">
      <c r="A16" s="15" t="n">
        <v>10</v>
      </c>
      <c r="B16" s="15" t="s">
        <v>178</v>
      </c>
      <c r="C16" s="16" t="s">
        <v>182</v>
      </c>
      <c r="D16" s="15" t="s">
        <v>183</v>
      </c>
      <c r="E16" s="15" t="n">
        <v>20</v>
      </c>
      <c r="F16" s="15" t="s">
        <v>184</v>
      </c>
      <c r="G16" s="17" t="s">
        <v>40</v>
      </c>
      <c r="H16" s="16"/>
    </row>
    <row r="17" customFormat="false" ht="15" hidden="false" customHeight="true" outlineLevel="0" collapsed="false">
      <c r="A17" s="15" t="n">
        <v>11</v>
      </c>
      <c r="B17" s="15" t="s">
        <v>178</v>
      </c>
      <c r="C17" s="16" t="s">
        <v>185</v>
      </c>
      <c r="D17" s="15" t="s">
        <v>186</v>
      </c>
      <c r="E17" s="15" t="n">
        <v>250</v>
      </c>
      <c r="F17" s="15" t="s">
        <v>187</v>
      </c>
      <c r="G17" s="17" t="s">
        <v>40</v>
      </c>
      <c r="H17" s="16"/>
    </row>
    <row r="18" customFormat="false" ht="15" hidden="false" customHeight="true" outlineLevel="0" collapsed="false">
      <c r="A18" s="15" t="n">
        <v>12</v>
      </c>
      <c r="B18" s="15" t="s">
        <v>178</v>
      </c>
      <c r="C18" s="16" t="s">
        <v>188</v>
      </c>
      <c r="D18" s="15" t="s">
        <v>186</v>
      </c>
      <c r="E18" s="15" t="n">
        <v>250</v>
      </c>
      <c r="F18" s="15" t="s">
        <v>187</v>
      </c>
      <c r="G18" s="17" t="s">
        <v>40</v>
      </c>
      <c r="H18" s="16"/>
    </row>
    <row r="19" customFormat="false" ht="15" hidden="false" customHeight="true" outlineLevel="0" collapsed="false">
      <c r="A19" s="15" t="n">
        <v>13</v>
      </c>
      <c r="B19" s="15" t="s">
        <v>178</v>
      </c>
      <c r="C19" s="16" t="s">
        <v>189</v>
      </c>
      <c r="D19" s="15" t="s">
        <v>186</v>
      </c>
      <c r="E19" s="15" t="n">
        <v>250</v>
      </c>
      <c r="F19" s="15" t="s">
        <v>187</v>
      </c>
      <c r="G19" s="17" t="s">
        <v>40</v>
      </c>
      <c r="H19" s="16"/>
    </row>
    <row r="20" customFormat="false" ht="15" hidden="false" customHeight="true" outlineLevel="0" collapsed="false">
      <c r="A20" s="15" t="n">
        <v>14</v>
      </c>
      <c r="B20" s="15" t="s">
        <v>178</v>
      </c>
      <c r="C20" s="16" t="s">
        <v>190</v>
      </c>
      <c r="D20" s="15" t="s">
        <v>186</v>
      </c>
      <c r="E20" s="15" t="n">
        <v>100</v>
      </c>
      <c r="F20" s="15" t="s">
        <v>187</v>
      </c>
      <c r="G20" s="17" t="s">
        <v>40</v>
      </c>
      <c r="H20" s="16"/>
    </row>
    <row r="21" customFormat="false" ht="15" hidden="false" customHeight="true" outlineLevel="0" collapsed="false">
      <c r="A21" s="15" t="n">
        <v>15</v>
      </c>
      <c r="B21" s="15" t="s">
        <v>178</v>
      </c>
      <c r="C21" s="16" t="s">
        <v>191</v>
      </c>
      <c r="D21" s="15" t="s">
        <v>186</v>
      </c>
      <c r="E21" s="15" t="n">
        <v>60</v>
      </c>
      <c r="F21" s="15" t="s">
        <v>187</v>
      </c>
      <c r="G21" s="17" t="s">
        <v>40</v>
      </c>
      <c r="H21" s="16"/>
    </row>
    <row r="22" customFormat="false" ht="15" hidden="false" customHeight="true" outlineLevel="0" collapsed="false">
      <c r="A22" s="15" t="n">
        <v>16</v>
      </c>
      <c r="B22" s="15" t="s">
        <v>178</v>
      </c>
      <c r="C22" s="16" t="s">
        <v>192</v>
      </c>
      <c r="D22" s="15" t="s">
        <v>186</v>
      </c>
      <c r="E22" s="15" t="n">
        <v>250</v>
      </c>
      <c r="F22" s="15" t="s">
        <v>187</v>
      </c>
      <c r="G22" s="17" t="s">
        <v>40</v>
      </c>
      <c r="H22" s="16"/>
    </row>
    <row r="23" customFormat="false" ht="15" hidden="false" customHeight="true" outlineLevel="0" collapsed="false">
      <c r="A23" s="15" t="n">
        <v>17</v>
      </c>
      <c r="B23" s="15" t="s">
        <v>178</v>
      </c>
      <c r="C23" s="16" t="s">
        <v>193</v>
      </c>
      <c r="D23" s="15" t="s">
        <v>194</v>
      </c>
      <c r="E23" s="15" t="n">
        <v>60</v>
      </c>
      <c r="F23" s="15" t="s">
        <v>195</v>
      </c>
      <c r="G23" s="17" t="s">
        <v>40</v>
      </c>
      <c r="H23" s="16"/>
    </row>
    <row r="24" customFormat="false" ht="15" hidden="false" customHeight="true" outlineLevel="0" collapsed="false">
      <c r="A24" s="15" t="n">
        <v>18</v>
      </c>
      <c r="B24" s="15" t="s">
        <v>178</v>
      </c>
      <c r="C24" s="16" t="s">
        <v>196</v>
      </c>
      <c r="D24" s="15" t="s">
        <v>186</v>
      </c>
      <c r="E24" s="15" t="n">
        <v>250</v>
      </c>
      <c r="F24" s="15" t="s">
        <v>187</v>
      </c>
      <c r="G24" s="17" t="s">
        <v>40</v>
      </c>
      <c r="H24" s="16"/>
    </row>
    <row r="25" customFormat="false" ht="15" hidden="false" customHeight="true" outlineLevel="0" collapsed="false">
      <c r="A25" s="15" t="n">
        <v>19</v>
      </c>
      <c r="B25" s="15" t="s">
        <v>178</v>
      </c>
      <c r="C25" s="16" t="s">
        <v>197</v>
      </c>
      <c r="D25" s="15" t="s">
        <v>186</v>
      </c>
      <c r="E25" s="15" t="n">
        <v>300</v>
      </c>
      <c r="F25" s="15" t="s">
        <v>198</v>
      </c>
      <c r="G25" s="17" t="s">
        <v>40</v>
      </c>
      <c r="H25" s="16"/>
    </row>
    <row r="26" customFormat="false" ht="15" hidden="false" customHeight="true" outlineLevel="0" collapsed="false">
      <c r="A26" s="15" t="n">
        <v>20</v>
      </c>
      <c r="B26" s="15" t="s">
        <v>178</v>
      </c>
      <c r="C26" s="16" t="s">
        <v>199</v>
      </c>
      <c r="D26" s="15" t="s">
        <v>200</v>
      </c>
      <c r="E26" s="15" t="n">
        <v>15</v>
      </c>
      <c r="F26" s="15" t="s">
        <v>201</v>
      </c>
      <c r="G26" s="17" t="s">
        <v>40</v>
      </c>
      <c r="H26" s="16"/>
    </row>
    <row r="27" customFormat="false" ht="15" hidden="false" customHeight="true" outlineLevel="0" collapsed="false">
      <c r="A27" s="13" t="s">
        <v>202</v>
      </c>
      <c r="B27" s="14"/>
      <c r="C27" s="14"/>
      <c r="D27" s="14"/>
      <c r="E27" s="14"/>
      <c r="F27" s="14"/>
      <c r="G27" s="14"/>
      <c r="H27" s="14"/>
    </row>
    <row r="28" customFormat="false" ht="15" hidden="false" customHeight="true" outlineLevel="0" collapsed="false">
      <c r="A28" s="15" t="n">
        <v>21</v>
      </c>
      <c r="B28" s="15" t="s">
        <v>203</v>
      </c>
      <c r="C28" s="16" t="s">
        <v>204</v>
      </c>
      <c r="D28" s="15" t="s">
        <v>205</v>
      </c>
      <c r="E28" s="15" t="n">
        <v>50</v>
      </c>
      <c r="F28" s="15" t="s">
        <v>206</v>
      </c>
      <c r="G28" s="17" t="s">
        <v>40</v>
      </c>
      <c r="H28" s="16"/>
    </row>
    <row r="29" customFormat="false" ht="15" hidden="false" customHeight="true" outlineLevel="0" collapsed="false">
      <c r="A29" s="15" t="n">
        <v>22</v>
      </c>
      <c r="B29" s="15" t="s">
        <v>203</v>
      </c>
      <c r="C29" s="16" t="s">
        <v>207</v>
      </c>
      <c r="D29" s="15" t="s">
        <v>208</v>
      </c>
      <c r="E29" s="15" t="n">
        <v>50</v>
      </c>
      <c r="F29" s="15" t="s">
        <v>201</v>
      </c>
      <c r="G29" s="17" t="s">
        <v>40</v>
      </c>
      <c r="H29" s="16"/>
    </row>
    <row r="30" customFormat="false" ht="15" hidden="false" customHeight="true" outlineLevel="0" collapsed="false">
      <c r="A30" s="15" t="n">
        <v>23</v>
      </c>
      <c r="B30" s="15" t="s">
        <v>203</v>
      </c>
      <c r="C30" s="16" t="s">
        <v>209</v>
      </c>
      <c r="D30" s="15" t="s">
        <v>210</v>
      </c>
      <c r="E30" s="15" t="n">
        <v>1000</v>
      </c>
      <c r="F30" s="15" t="s">
        <v>198</v>
      </c>
      <c r="G30" s="17" t="s">
        <v>40</v>
      </c>
      <c r="H30" s="16"/>
    </row>
    <row r="31" customFormat="false" ht="15" hidden="false" customHeight="true" outlineLevel="0" collapsed="false">
      <c r="A31" s="15" t="n">
        <v>24</v>
      </c>
      <c r="B31" s="15" t="s">
        <v>203</v>
      </c>
      <c r="C31" s="16" t="s">
        <v>211</v>
      </c>
      <c r="D31" s="15" t="s">
        <v>171</v>
      </c>
      <c r="E31" s="15" t="n">
        <v>30</v>
      </c>
      <c r="F31" s="15" t="s">
        <v>212</v>
      </c>
      <c r="G31" s="17" t="s">
        <v>40</v>
      </c>
      <c r="H31" s="16"/>
    </row>
    <row r="32" customFormat="false" ht="15" hidden="false" customHeight="true" outlineLevel="0" collapsed="false">
      <c r="A32" s="15" t="n">
        <v>25</v>
      </c>
      <c r="B32" s="15" t="s">
        <v>203</v>
      </c>
      <c r="C32" s="16" t="s">
        <v>213</v>
      </c>
      <c r="D32" s="15" t="s">
        <v>214</v>
      </c>
      <c r="E32" s="15" t="n">
        <v>1</v>
      </c>
      <c r="F32" s="15" t="s">
        <v>201</v>
      </c>
      <c r="G32" s="17" t="s">
        <v>40</v>
      </c>
      <c r="H32" s="16"/>
    </row>
    <row r="33" customFormat="false" ht="15" hidden="false" customHeight="true" outlineLevel="0" collapsed="false">
      <c r="A33" s="15" t="n">
        <v>26</v>
      </c>
      <c r="B33" s="15" t="s">
        <v>203</v>
      </c>
      <c r="C33" s="16" t="s">
        <v>215</v>
      </c>
      <c r="D33" s="15" t="s">
        <v>216</v>
      </c>
      <c r="E33" s="15" t="n">
        <v>10</v>
      </c>
      <c r="F33" s="15" t="s">
        <v>217</v>
      </c>
      <c r="G33" s="17" t="s">
        <v>40</v>
      </c>
      <c r="H33" s="16"/>
    </row>
    <row r="34" customFormat="false" ht="15" hidden="false" customHeight="true" outlineLevel="0" collapsed="false">
      <c r="A34" s="13" t="s">
        <v>218</v>
      </c>
      <c r="B34" s="14"/>
      <c r="C34" s="14"/>
      <c r="D34" s="14"/>
      <c r="E34" s="14"/>
      <c r="F34" s="14"/>
      <c r="G34" s="14"/>
      <c r="H34" s="14"/>
    </row>
    <row r="35" customFormat="false" ht="15" hidden="false" customHeight="true" outlineLevel="0" collapsed="false">
      <c r="A35" s="15" t="n">
        <v>27</v>
      </c>
      <c r="B35" s="15" t="s">
        <v>219</v>
      </c>
      <c r="C35" s="16" t="s">
        <v>220</v>
      </c>
      <c r="D35" s="15" t="s">
        <v>221</v>
      </c>
      <c r="E35" s="15" t="n">
        <v>1</v>
      </c>
      <c r="F35" s="15" t="s">
        <v>165</v>
      </c>
      <c r="G35" s="17" t="s">
        <v>40</v>
      </c>
      <c r="H35" s="16"/>
    </row>
    <row r="36" customFormat="false" ht="15" hidden="false" customHeight="true" outlineLevel="0" collapsed="false">
      <c r="A36" s="15" t="n">
        <v>28</v>
      </c>
      <c r="B36" s="15" t="s">
        <v>219</v>
      </c>
      <c r="C36" s="16" t="s">
        <v>222</v>
      </c>
      <c r="D36" s="15" t="s">
        <v>223</v>
      </c>
      <c r="E36" s="15" t="n">
        <v>1</v>
      </c>
      <c r="F36" s="15" t="s">
        <v>165</v>
      </c>
      <c r="G36" s="17" t="s">
        <v>40</v>
      </c>
      <c r="H36" s="16"/>
    </row>
    <row r="37" customFormat="false" ht="15" hidden="false" customHeight="true" outlineLevel="0" collapsed="false">
      <c r="A37" s="15" t="n">
        <v>29</v>
      </c>
      <c r="B37" s="15" t="s">
        <v>219</v>
      </c>
      <c r="C37" s="16" t="s">
        <v>224</v>
      </c>
      <c r="D37" s="15" t="s">
        <v>225</v>
      </c>
      <c r="E37" s="15" t="n">
        <v>1</v>
      </c>
      <c r="F37" s="15" t="s">
        <v>226</v>
      </c>
      <c r="G37" s="17" t="s">
        <v>40</v>
      </c>
      <c r="H37" s="16"/>
    </row>
    <row r="38" customFormat="false" ht="15" hidden="false" customHeight="true" outlineLevel="0" collapsed="false">
      <c r="A38" s="15" t="n">
        <v>30</v>
      </c>
      <c r="B38" s="15" t="s">
        <v>219</v>
      </c>
      <c r="C38" s="16" t="s">
        <v>227</v>
      </c>
      <c r="D38" s="15" t="s">
        <v>228</v>
      </c>
      <c r="E38" s="15" t="n">
        <v>1</v>
      </c>
      <c r="F38" s="15" t="s">
        <v>229</v>
      </c>
      <c r="G38" s="17" t="s">
        <v>40</v>
      </c>
      <c r="H38" s="16"/>
    </row>
    <row r="39" customFormat="false" ht="15" hidden="false" customHeight="true" outlineLevel="0" collapsed="false">
      <c r="A39" s="13" t="s">
        <v>230</v>
      </c>
      <c r="B39" s="14"/>
      <c r="C39" s="14"/>
      <c r="D39" s="14"/>
      <c r="E39" s="14"/>
      <c r="F39" s="14"/>
      <c r="G39" s="14"/>
      <c r="H39" s="14"/>
    </row>
    <row r="40" customFormat="false" ht="15" hidden="false" customHeight="true" outlineLevel="0" collapsed="false">
      <c r="A40" s="15" t="n">
        <v>31</v>
      </c>
      <c r="B40" s="15" t="s">
        <v>231</v>
      </c>
      <c r="C40" s="16" t="s">
        <v>232</v>
      </c>
      <c r="D40" s="15" t="s">
        <v>233</v>
      </c>
      <c r="E40" s="15" t="n">
        <v>30</v>
      </c>
      <c r="F40" s="15" t="s">
        <v>201</v>
      </c>
      <c r="G40" s="17" t="s">
        <v>40</v>
      </c>
      <c r="H40" s="16"/>
    </row>
    <row r="41" customFormat="false" ht="15" hidden="false" customHeight="true" outlineLevel="0" collapsed="false">
      <c r="A41" s="15" t="n">
        <v>32</v>
      </c>
      <c r="B41" s="15" t="s">
        <v>231</v>
      </c>
      <c r="C41" s="16" t="s">
        <v>234</v>
      </c>
      <c r="D41" s="15" t="s">
        <v>228</v>
      </c>
      <c r="E41" s="15" t="n">
        <v>1</v>
      </c>
      <c r="F41" s="15" t="s">
        <v>217</v>
      </c>
      <c r="G41" s="17" t="s">
        <v>40</v>
      </c>
      <c r="H41" s="16"/>
    </row>
    <row r="42" customFormat="false" ht="15" hidden="false" customHeight="true" outlineLevel="0" collapsed="false">
      <c r="A42" s="15" t="n">
        <v>33</v>
      </c>
      <c r="B42" s="15" t="s">
        <v>231</v>
      </c>
      <c r="C42" s="16" t="s">
        <v>235</v>
      </c>
      <c r="D42" s="15" t="s">
        <v>236</v>
      </c>
      <c r="E42" s="15" t="n">
        <v>10</v>
      </c>
      <c r="F42" s="15" t="s">
        <v>48</v>
      </c>
      <c r="G42" s="17" t="s">
        <v>40</v>
      </c>
      <c r="H42" s="16"/>
    </row>
    <row r="43" customFormat="false" ht="15" hidden="false" customHeight="true" outlineLevel="0" collapsed="false">
      <c r="A43" s="15" t="n">
        <v>34</v>
      </c>
      <c r="B43" s="15" t="s">
        <v>231</v>
      </c>
      <c r="C43" s="16" t="s">
        <v>237</v>
      </c>
      <c r="D43" s="15" t="s">
        <v>238</v>
      </c>
      <c r="E43" s="15" t="n">
        <v>10</v>
      </c>
      <c r="F43" s="15" t="s">
        <v>229</v>
      </c>
      <c r="G43" s="17" t="s">
        <v>40</v>
      </c>
      <c r="H43" s="16"/>
    </row>
    <row r="44" customFormat="false" ht="15" hidden="false" customHeight="true" outlineLevel="0" collapsed="false">
      <c r="A44" s="15" t="n">
        <v>35</v>
      </c>
      <c r="B44" s="15" t="s">
        <v>231</v>
      </c>
      <c r="C44" s="16" t="s">
        <v>239</v>
      </c>
      <c r="D44" s="15" t="s">
        <v>240</v>
      </c>
      <c r="E44" s="15" t="n">
        <v>25</v>
      </c>
      <c r="F44" s="15" t="s">
        <v>241</v>
      </c>
      <c r="G44" s="17" t="s">
        <v>40</v>
      </c>
      <c r="H44" s="16"/>
    </row>
    <row r="45" customFormat="false" ht="15" hidden="false" customHeight="true" outlineLevel="0" collapsed="false">
      <c r="A45" s="15" t="n">
        <v>36</v>
      </c>
      <c r="B45" s="15" t="s">
        <v>231</v>
      </c>
      <c r="C45" s="16" t="s">
        <v>242</v>
      </c>
      <c r="D45" s="15" t="s">
        <v>240</v>
      </c>
      <c r="E45" s="15" t="n">
        <v>25</v>
      </c>
      <c r="F45" s="15" t="s">
        <v>241</v>
      </c>
      <c r="G45" s="17" t="s">
        <v>40</v>
      </c>
      <c r="H45" s="16"/>
    </row>
    <row r="46" customFormat="false" ht="15" hidden="false" customHeight="true" outlineLevel="0" collapsed="false">
      <c r="A46" s="15" t="n">
        <v>37</v>
      </c>
      <c r="B46" s="15" t="s">
        <v>231</v>
      </c>
      <c r="C46" s="16" t="s">
        <v>243</v>
      </c>
      <c r="D46" s="15" t="s">
        <v>244</v>
      </c>
      <c r="E46" s="15" t="n">
        <v>40</v>
      </c>
      <c r="F46" s="15" t="s">
        <v>195</v>
      </c>
      <c r="G46" s="17" t="s">
        <v>40</v>
      </c>
      <c r="H46" s="16"/>
    </row>
    <row r="47" customFormat="false" ht="15" hidden="false" customHeight="true" outlineLevel="0" collapsed="false">
      <c r="A47" s="15" t="n">
        <v>38</v>
      </c>
      <c r="B47" s="15" t="s">
        <v>231</v>
      </c>
      <c r="C47" s="16" t="s">
        <v>245</v>
      </c>
      <c r="D47" s="15" t="s">
        <v>200</v>
      </c>
      <c r="E47" s="15" t="n">
        <v>5</v>
      </c>
      <c r="F47" s="15" t="s">
        <v>206</v>
      </c>
      <c r="G47" s="17" t="s">
        <v>40</v>
      </c>
      <c r="H47" s="16"/>
    </row>
    <row r="48" customFormat="false" ht="15" hidden="false" customHeight="true" outlineLevel="0" collapsed="false">
      <c r="A48" s="15" t="n">
        <v>39</v>
      </c>
      <c r="B48" s="15" t="s">
        <v>231</v>
      </c>
      <c r="C48" s="16" t="s">
        <v>246</v>
      </c>
      <c r="D48" s="15" t="s">
        <v>200</v>
      </c>
      <c r="E48" s="15" t="n">
        <v>15</v>
      </c>
      <c r="F48" s="15" t="s">
        <v>206</v>
      </c>
      <c r="G48" s="17" t="s">
        <v>40</v>
      </c>
      <c r="H48" s="16"/>
    </row>
    <row r="49" customFormat="false" ht="15" hidden="false" customHeight="true" outlineLevel="0" collapsed="false">
      <c r="A49" s="13" t="s">
        <v>247</v>
      </c>
      <c r="B49" s="14"/>
      <c r="C49" s="14"/>
      <c r="D49" s="14"/>
      <c r="E49" s="14"/>
      <c r="F49" s="14"/>
      <c r="G49" s="14"/>
      <c r="H49" s="14"/>
    </row>
    <row r="50" customFormat="false" ht="15" hidden="false" customHeight="true" outlineLevel="0" collapsed="false">
      <c r="A50" s="15" t="n">
        <v>40</v>
      </c>
      <c r="B50" s="15" t="s">
        <v>248</v>
      </c>
      <c r="C50" s="16" t="s">
        <v>249</v>
      </c>
      <c r="D50" s="15" t="s">
        <v>250</v>
      </c>
      <c r="E50" s="15" t="n">
        <v>100</v>
      </c>
      <c r="F50" s="15" t="s">
        <v>48</v>
      </c>
      <c r="G50" s="17" t="s">
        <v>40</v>
      </c>
      <c r="H50" s="16"/>
    </row>
    <row r="51" customFormat="false" ht="15" hidden="false" customHeight="true" outlineLevel="0" collapsed="false">
      <c r="A51" s="15" t="n">
        <v>41</v>
      </c>
      <c r="B51" s="15" t="s">
        <v>248</v>
      </c>
      <c r="C51" s="16" t="s">
        <v>251</v>
      </c>
      <c r="D51" s="15" t="s">
        <v>252</v>
      </c>
      <c r="E51" s="15" t="n">
        <v>1</v>
      </c>
      <c r="F51" s="15" t="s">
        <v>195</v>
      </c>
      <c r="G51" s="17" t="s">
        <v>40</v>
      </c>
      <c r="H51" s="16"/>
    </row>
    <row r="52" customFormat="false" ht="15" hidden="false" customHeight="true" outlineLevel="0" collapsed="false">
      <c r="A52" s="15" t="n">
        <v>42</v>
      </c>
      <c r="B52" s="15" t="s">
        <v>248</v>
      </c>
      <c r="C52" s="16" t="s">
        <v>253</v>
      </c>
      <c r="D52" s="15" t="s">
        <v>250</v>
      </c>
      <c r="E52" s="15" t="n">
        <v>300</v>
      </c>
      <c r="F52" s="15" t="s">
        <v>165</v>
      </c>
      <c r="G52" s="17" t="s">
        <v>40</v>
      </c>
      <c r="H52" s="16"/>
    </row>
    <row r="53" customFormat="false" ht="15" hidden="false" customHeight="true" outlineLevel="0" collapsed="false">
      <c r="A53" s="15" t="n">
        <v>43</v>
      </c>
      <c r="B53" s="15" t="s">
        <v>248</v>
      </c>
      <c r="C53" s="16" t="s">
        <v>254</v>
      </c>
      <c r="D53" s="15" t="s">
        <v>255</v>
      </c>
      <c r="E53" s="15" t="n">
        <v>300</v>
      </c>
      <c r="F53" s="15" t="s">
        <v>217</v>
      </c>
      <c r="G53" s="17" t="s">
        <v>40</v>
      </c>
      <c r="H53" s="16"/>
    </row>
    <row r="54" customFormat="false" ht="15" hidden="false" customHeight="true" outlineLevel="0" collapsed="false">
      <c r="A54" s="15" t="n">
        <v>44</v>
      </c>
      <c r="B54" s="15" t="s">
        <v>248</v>
      </c>
      <c r="C54" s="16" t="s">
        <v>256</v>
      </c>
      <c r="D54" s="15" t="s">
        <v>250</v>
      </c>
      <c r="E54" s="15" t="n">
        <v>300</v>
      </c>
      <c r="F54" s="15" t="s">
        <v>172</v>
      </c>
      <c r="G54" s="17" t="s">
        <v>40</v>
      </c>
      <c r="H54" s="16"/>
    </row>
    <row r="55" customFormat="false" ht="15" hidden="false" customHeight="true" outlineLevel="0" collapsed="false">
      <c r="A55" s="15" t="n">
        <v>45</v>
      </c>
      <c r="B55" s="15" t="s">
        <v>248</v>
      </c>
      <c r="C55" s="16" t="s">
        <v>257</v>
      </c>
      <c r="D55" s="15" t="s">
        <v>250</v>
      </c>
      <c r="E55" s="15" t="n">
        <v>300</v>
      </c>
      <c r="F55" s="15" t="s">
        <v>258</v>
      </c>
      <c r="G55" s="17" t="s">
        <v>40</v>
      </c>
      <c r="H55" s="16"/>
    </row>
    <row r="56" customFormat="false" ht="15" hidden="false" customHeight="true" outlineLevel="0" collapsed="false">
      <c r="A56" s="15" t="n">
        <v>46</v>
      </c>
      <c r="B56" s="15" t="s">
        <v>248</v>
      </c>
      <c r="C56" s="16" t="s">
        <v>259</v>
      </c>
      <c r="D56" s="15" t="s">
        <v>260</v>
      </c>
      <c r="E56" s="15" t="n">
        <v>40</v>
      </c>
      <c r="F56" s="15" t="s">
        <v>195</v>
      </c>
      <c r="G56" s="17" t="s">
        <v>40</v>
      </c>
      <c r="H56" s="16"/>
    </row>
    <row r="57" customFormat="false" ht="15" hidden="false" customHeight="true" outlineLevel="0" collapsed="false">
      <c r="A57" s="15" t="n">
        <v>47</v>
      </c>
      <c r="B57" s="15" t="s">
        <v>248</v>
      </c>
      <c r="C57" s="16" t="s">
        <v>261</v>
      </c>
      <c r="D57" s="15" t="s">
        <v>262</v>
      </c>
      <c r="E57" s="15" t="n">
        <v>50</v>
      </c>
      <c r="F57" s="15" t="s">
        <v>241</v>
      </c>
      <c r="G57" s="17" t="s">
        <v>40</v>
      </c>
      <c r="H57" s="16"/>
    </row>
    <row r="58" customFormat="false" ht="15" hidden="false" customHeight="true" outlineLevel="0" collapsed="false">
      <c r="A58" s="15" t="n">
        <v>48</v>
      </c>
      <c r="B58" s="15" t="s">
        <v>248</v>
      </c>
      <c r="C58" s="16" t="s">
        <v>263</v>
      </c>
      <c r="D58" s="15" t="s">
        <v>264</v>
      </c>
      <c r="E58" s="15" t="n">
        <v>1</v>
      </c>
      <c r="F58" s="15" t="s">
        <v>241</v>
      </c>
      <c r="G58" s="17" t="s">
        <v>40</v>
      </c>
      <c r="H58" s="16" t="s">
        <v>265</v>
      </c>
    </row>
    <row r="59" customFormat="false" ht="15" hidden="false" customHeight="true" outlineLevel="0" collapsed="false">
      <c r="A59" s="15" t="n">
        <v>49</v>
      </c>
      <c r="B59" s="15" t="s">
        <v>248</v>
      </c>
      <c r="C59" s="16" t="s">
        <v>266</v>
      </c>
      <c r="D59" s="15" t="s">
        <v>267</v>
      </c>
      <c r="E59" s="15" t="n">
        <v>100</v>
      </c>
      <c r="F59" s="15" t="s">
        <v>184</v>
      </c>
      <c r="G59" s="17" t="s">
        <v>40</v>
      </c>
      <c r="H59" s="16"/>
    </row>
    <row r="60" customFormat="false" ht="15" hidden="false" customHeight="true" outlineLevel="0" collapsed="false">
      <c r="A60" s="15" t="n">
        <v>50</v>
      </c>
      <c r="B60" s="15" t="s">
        <v>248</v>
      </c>
      <c r="C60" s="16" t="s">
        <v>268</v>
      </c>
      <c r="D60" s="15" t="s">
        <v>269</v>
      </c>
      <c r="E60" s="15" t="n">
        <v>1</v>
      </c>
      <c r="F60" s="15" t="s">
        <v>48</v>
      </c>
      <c r="G60" s="17" t="s">
        <v>40</v>
      </c>
      <c r="H60" s="16"/>
    </row>
    <row r="61" customFormat="false" ht="23.25" hidden="false" customHeight="true" outlineLevel="0" collapsed="false">
      <c r="A61" s="15" t="n">
        <v>51</v>
      </c>
      <c r="B61" s="15" t="s">
        <v>248</v>
      </c>
      <c r="C61" s="16" t="s">
        <v>270</v>
      </c>
      <c r="D61" s="15" t="s">
        <v>255</v>
      </c>
      <c r="E61" s="15" t="n">
        <v>100</v>
      </c>
      <c r="F61" s="15" t="s">
        <v>241</v>
      </c>
      <c r="G61" s="17" t="s">
        <v>40</v>
      </c>
      <c r="H61" s="16"/>
    </row>
    <row r="62" customFormat="false" ht="15" hidden="false" customHeight="true" outlineLevel="0" collapsed="false">
      <c r="A62" s="15" t="n">
        <v>52</v>
      </c>
      <c r="B62" s="15" t="s">
        <v>248</v>
      </c>
      <c r="C62" s="16" t="s">
        <v>271</v>
      </c>
      <c r="D62" s="15" t="s">
        <v>272</v>
      </c>
      <c r="E62" s="15" t="n">
        <v>300</v>
      </c>
      <c r="F62" s="15" t="s">
        <v>273</v>
      </c>
      <c r="G62" s="17" t="s">
        <v>40</v>
      </c>
      <c r="H62" s="16"/>
    </row>
    <row r="63" customFormat="false" ht="15" hidden="false" customHeight="true" outlineLevel="0" collapsed="false">
      <c r="A63" s="15" t="n">
        <v>53</v>
      </c>
      <c r="B63" s="15" t="s">
        <v>248</v>
      </c>
      <c r="C63" s="16" t="s">
        <v>274</v>
      </c>
      <c r="D63" s="15" t="s">
        <v>174</v>
      </c>
      <c r="E63" s="15" t="n">
        <v>100</v>
      </c>
      <c r="F63" s="15" t="s">
        <v>184</v>
      </c>
      <c r="G63" s="17" t="s">
        <v>40</v>
      </c>
      <c r="H63" s="16"/>
    </row>
    <row r="64" customFormat="false" ht="15" hidden="false" customHeight="true" outlineLevel="0" collapsed="false">
      <c r="A64" s="15" t="n">
        <v>54</v>
      </c>
      <c r="B64" s="15" t="s">
        <v>248</v>
      </c>
      <c r="C64" s="16" t="s">
        <v>275</v>
      </c>
      <c r="D64" s="15" t="s">
        <v>276</v>
      </c>
      <c r="E64" s="15" t="n">
        <v>100</v>
      </c>
      <c r="F64" s="15" t="s">
        <v>273</v>
      </c>
      <c r="G64" s="17" t="s">
        <v>40</v>
      </c>
      <c r="H64" s="16"/>
    </row>
    <row r="65" customFormat="false" ht="15" hidden="false" customHeight="true" outlineLevel="0" collapsed="false">
      <c r="A65" s="15" t="n">
        <v>55</v>
      </c>
      <c r="B65" s="15" t="s">
        <v>248</v>
      </c>
      <c r="C65" s="16" t="s">
        <v>277</v>
      </c>
      <c r="D65" s="15" t="s">
        <v>278</v>
      </c>
      <c r="E65" s="15" t="n">
        <v>10</v>
      </c>
      <c r="F65" s="15" t="s">
        <v>206</v>
      </c>
      <c r="G65" s="17" t="s">
        <v>40</v>
      </c>
      <c r="H65" s="16"/>
    </row>
    <row r="66" customFormat="false" ht="15" hidden="false" customHeight="true" outlineLevel="0" collapsed="false">
      <c r="A66" s="15" t="n">
        <v>56</v>
      </c>
      <c r="B66" s="15" t="s">
        <v>248</v>
      </c>
      <c r="C66" s="16" t="s">
        <v>279</v>
      </c>
      <c r="D66" s="15" t="s">
        <v>200</v>
      </c>
      <c r="E66" s="15" t="n">
        <v>7</v>
      </c>
      <c r="F66" s="15" t="s">
        <v>206</v>
      </c>
      <c r="G66" s="17" t="s">
        <v>40</v>
      </c>
      <c r="H66" s="16"/>
    </row>
    <row r="67" customFormat="false" ht="15" hidden="false" customHeight="true" outlineLevel="0" collapsed="false">
      <c r="A67" s="15" t="n">
        <v>57</v>
      </c>
      <c r="B67" s="15" t="s">
        <v>248</v>
      </c>
      <c r="C67" s="16" t="s">
        <v>280</v>
      </c>
      <c r="D67" s="15" t="s">
        <v>200</v>
      </c>
      <c r="E67" s="15" t="n">
        <v>7</v>
      </c>
      <c r="F67" s="15" t="s">
        <v>169</v>
      </c>
      <c r="G67" s="17" t="s">
        <v>40</v>
      </c>
      <c r="H67" s="16"/>
    </row>
    <row r="68" customFormat="false" ht="15" hidden="false" customHeight="true" outlineLevel="0" collapsed="false">
      <c r="A68" s="15" t="n">
        <v>58</v>
      </c>
      <c r="B68" s="15" t="s">
        <v>248</v>
      </c>
      <c r="C68" s="16" t="s">
        <v>281</v>
      </c>
      <c r="D68" s="15" t="s">
        <v>282</v>
      </c>
      <c r="E68" s="15" t="n">
        <v>2</v>
      </c>
      <c r="F68" s="15" t="s">
        <v>184</v>
      </c>
      <c r="G68" s="17" t="s">
        <v>40</v>
      </c>
      <c r="H68" s="16"/>
    </row>
    <row r="69" customFormat="false" ht="15" hidden="false" customHeight="true" outlineLevel="0" collapsed="false">
      <c r="A69" s="15" t="n">
        <v>59</v>
      </c>
      <c r="B69" s="15" t="s">
        <v>248</v>
      </c>
      <c r="C69" s="16" t="s">
        <v>283</v>
      </c>
      <c r="D69" s="15" t="s">
        <v>284</v>
      </c>
      <c r="E69" s="15" t="n">
        <v>30</v>
      </c>
      <c r="F69" s="15" t="s">
        <v>241</v>
      </c>
      <c r="G69" s="17" t="s">
        <v>40</v>
      </c>
      <c r="H69" s="16"/>
    </row>
    <row r="70" customFormat="false" ht="15" hidden="false" customHeight="true" outlineLevel="0" collapsed="false">
      <c r="A70" s="15" t="n">
        <v>60</v>
      </c>
      <c r="B70" s="15" t="s">
        <v>248</v>
      </c>
      <c r="C70" s="16" t="s">
        <v>285</v>
      </c>
      <c r="D70" s="15" t="s">
        <v>164</v>
      </c>
      <c r="E70" s="15" t="n">
        <v>10</v>
      </c>
      <c r="F70" s="15" t="s">
        <v>184</v>
      </c>
      <c r="G70" s="17" t="s">
        <v>40</v>
      </c>
      <c r="H70" s="16"/>
    </row>
    <row r="71" customFormat="false" ht="15" hidden="false" customHeight="true" outlineLevel="0" collapsed="false">
      <c r="A71" s="13" t="s">
        <v>286</v>
      </c>
      <c r="B71" s="14"/>
      <c r="C71" s="14"/>
      <c r="D71" s="14"/>
      <c r="E71" s="14"/>
      <c r="F71" s="14"/>
      <c r="G71" s="14"/>
      <c r="H71" s="14"/>
    </row>
    <row r="72" customFormat="false" ht="15" hidden="false" customHeight="true" outlineLevel="0" collapsed="false">
      <c r="A72" s="15" t="n">
        <v>61</v>
      </c>
      <c r="B72" s="15" t="s">
        <v>287</v>
      </c>
      <c r="C72" s="16" t="s">
        <v>288</v>
      </c>
      <c r="D72" s="15" t="s">
        <v>289</v>
      </c>
      <c r="E72" s="15" t="n">
        <v>50</v>
      </c>
      <c r="F72" s="15" t="s">
        <v>48</v>
      </c>
      <c r="G72" s="17" t="s">
        <v>40</v>
      </c>
      <c r="H72" s="16"/>
    </row>
    <row r="73" customFormat="false" ht="15" hidden="false" customHeight="true" outlineLevel="0" collapsed="false">
      <c r="A73" s="15" t="n">
        <v>62</v>
      </c>
      <c r="B73" s="15" t="s">
        <v>287</v>
      </c>
      <c r="C73" s="16" t="s">
        <v>290</v>
      </c>
      <c r="D73" s="15" t="s">
        <v>291</v>
      </c>
      <c r="E73" s="15" t="n">
        <v>50</v>
      </c>
      <c r="F73" s="15" t="s">
        <v>273</v>
      </c>
      <c r="G73" s="17" t="s">
        <v>40</v>
      </c>
      <c r="H73" s="16"/>
    </row>
    <row r="74" customFormat="false" ht="15" hidden="false" customHeight="true" outlineLevel="0" collapsed="false">
      <c r="A74" s="15" t="n">
        <v>63</v>
      </c>
      <c r="B74" s="15" t="s">
        <v>287</v>
      </c>
      <c r="C74" s="16" t="s">
        <v>292</v>
      </c>
      <c r="D74" s="15" t="s">
        <v>293</v>
      </c>
      <c r="E74" s="15" t="n">
        <v>100</v>
      </c>
      <c r="F74" s="15" t="s">
        <v>169</v>
      </c>
      <c r="G74" s="17" t="s">
        <v>40</v>
      </c>
      <c r="H74" s="16"/>
    </row>
    <row r="75" customFormat="false" ht="15" hidden="false" customHeight="true" outlineLevel="0" collapsed="false">
      <c r="A75" s="15" t="n">
        <v>64</v>
      </c>
      <c r="B75" s="15" t="s">
        <v>287</v>
      </c>
      <c r="C75" s="16" t="s">
        <v>294</v>
      </c>
      <c r="D75" s="15" t="s">
        <v>295</v>
      </c>
      <c r="E75" s="15" t="n">
        <v>100</v>
      </c>
      <c r="F75" s="15" t="s">
        <v>198</v>
      </c>
      <c r="G75" s="17" t="s">
        <v>40</v>
      </c>
      <c r="H75" s="16"/>
    </row>
    <row r="76" customFormat="false" ht="15" hidden="false" customHeight="true" outlineLevel="0" collapsed="false">
      <c r="A76" s="15" t="n">
        <v>65</v>
      </c>
      <c r="B76" s="15" t="s">
        <v>287</v>
      </c>
      <c r="C76" s="16" t="s">
        <v>296</v>
      </c>
      <c r="D76" s="15" t="s">
        <v>295</v>
      </c>
      <c r="E76" s="15" t="n">
        <v>100</v>
      </c>
      <c r="F76" s="15" t="s">
        <v>198</v>
      </c>
      <c r="G76" s="17" t="s">
        <v>40</v>
      </c>
      <c r="H76" s="16"/>
    </row>
    <row r="77" customFormat="false" ht="15" hidden="false" customHeight="true" outlineLevel="0" collapsed="false">
      <c r="A77" s="15" t="n">
        <v>66</v>
      </c>
      <c r="B77" s="15" t="s">
        <v>287</v>
      </c>
      <c r="C77" s="16" t="s">
        <v>297</v>
      </c>
      <c r="D77" s="15" t="s">
        <v>298</v>
      </c>
      <c r="E77" s="15" t="n">
        <v>100</v>
      </c>
      <c r="F77" s="15" t="s">
        <v>198</v>
      </c>
      <c r="G77" s="17" t="s">
        <v>40</v>
      </c>
      <c r="H77" s="16"/>
    </row>
    <row r="78" customFormat="false" ht="15" hidden="false" customHeight="true" outlineLevel="0" collapsed="false">
      <c r="A78" s="15" t="n">
        <v>67</v>
      </c>
      <c r="B78" s="15" t="s">
        <v>287</v>
      </c>
      <c r="C78" s="16" t="s">
        <v>299</v>
      </c>
      <c r="D78" s="15" t="s">
        <v>300</v>
      </c>
      <c r="E78" s="15" t="n">
        <v>50</v>
      </c>
      <c r="F78" s="15" t="s">
        <v>201</v>
      </c>
      <c r="G78" s="17" t="s">
        <v>40</v>
      </c>
      <c r="H78" s="16"/>
    </row>
    <row r="79" customFormat="false" ht="15" hidden="false" customHeight="true" outlineLevel="0" collapsed="false">
      <c r="A79" s="15" t="n">
        <v>68</v>
      </c>
      <c r="B79" s="15" t="s">
        <v>287</v>
      </c>
      <c r="C79" s="16" t="s">
        <v>301</v>
      </c>
      <c r="D79" s="15" t="s">
        <v>298</v>
      </c>
      <c r="E79" s="15" t="n">
        <v>50</v>
      </c>
      <c r="F79" s="15" t="s">
        <v>273</v>
      </c>
      <c r="G79" s="17" t="s">
        <v>40</v>
      </c>
      <c r="H79" s="16"/>
    </row>
    <row r="80" customFormat="false" ht="15" hidden="false" customHeight="true" outlineLevel="0" collapsed="false">
      <c r="A80" s="15" t="n">
        <v>69</v>
      </c>
      <c r="B80" s="15" t="s">
        <v>287</v>
      </c>
      <c r="C80" s="16" t="s">
        <v>302</v>
      </c>
      <c r="D80" s="15" t="s">
        <v>295</v>
      </c>
      <c r="E80" s="15" t="n">
        <v>100</v>
      </c>
      <c r="F80" s="15" t="s">
        <v>198</v>
      </c>
      <c r="G80" s="17" t="s">
        <v>40</v>
      </c>
      <c r="H80" s="16"/>
    </row>
    <row r="81" customFormat="false" ht="15" hidden="false" customHeight="true" outlineLevel="0" collapsed="false">
      <c r="A81" s="15" t="n">
        <v>70</v>
      </c>
      <c r="B81" s="15" t="s">
        <v>287</v>
      </c>
      <c r="C81" s="16" t="s">
        <v>303</v>
      </c>
      <c r="D81" s="15" t="s">
        <v>304</v>
      </c>
      <c r="E81" s="15" t="n">
        <v>100</v>
      </c>
      <c r="F81" s="15" t="s">
        <v>198</v>
      </c>
      <c r="G81" s="17" t="s">
        <v>40</v>
      </c>
      <c r="H81" s="16"/>
    </row>
    <row r="82" customFormat="false" ht="15" hidden="false" customHeight="true" outlineLevel="0" collapsed="false">
      <c r="A82" s="15" t="n">
        <v>71</v>
      </c>
      <c r="B82" s="15" t="s">
        <v>287</v>
      </c>
      <c r="C82" s="16" t="s">
        <v>305</v>
      </c>
      <c r="D82" s="15" t="s">
        <v>306</v>
      </c>
      <c r="E82" s="15" t="n">
        <v>50</v>
      </c>
      <c r="F82" s="15" t="s">
        <v>226</v>
      </c>
      <c r="G82" s="17" t="s">
        <v>40</v>
      </c>
      <c r="H82" s="16"/>
    </row>
    <row r="83" customFormat="false" ht="15" hidden="false" customHeight="true" outlineLevel="0" collapsed="false">
      <c r="A83" s="15" t="n">
        <v>72</v>
      </c>
      <c r="B83" s="15" t="s">
        <v>287</v>
      </c>
      <c r="C83" s="16" t="s">
        <v>307</v>
      </c>
      <c r="D83" s="15" t="s">
        <v>308</v>
      </c>
      <c r="E83" s="15" t="n">
        <v>100</v>
      </c>
      <c r="F83" s="15" t="s">
        <v>309</v>
      </c>
      <c r="G83" s="17" t="s">
        <v>40</v>
      </c>
      <c r="H83" s="16" t="s">
        <v>265</v>
      </c>
    </row>
    <row r="84" customFormat="false" ht="15" hidden="false" customHeight="true" outlineLevel="0" collapsed="false">
      <c r="A84" s="15" t="n">
        <v>73</v>
      </c>
      <c r="B84" s="15" t="s">
        <v>287</v>
      </c>
      <c r="C84" s="16" t="s">
        <v>310</v>
      </c>
      <c r="D84" s="15" t="s">
        <v>164</v>
      </c>
      <c r="E84" s="15" t="n">
        <v>10</v>
      </c>
      <c r="F84" s="15" t="s">
        <v>165</v>
      </c>
      <c r="G84" s="17" t="s">
        <v>40</v>
      </c>
      <c r="H84" s="16"/>
    </row>
    <row r="85" customFormat="false" ht="15" hidden="false" customHeight="true" outlineLevel="0" collapsed="false">
      <c r="A85" s="13" t="s">
        <v>311</v>
      </c>
      <c r="B85" s="14"/>
      <c r="C85" s="14"/>
      <c r="D85" s="14"/>
      <c r="E85" s="14"/>
      <c r="F85" s="14"/>
      <c r="G85" s="14"/>
      <c r="H85" s="14"/>
    </row>
    <row r="86" customFormat="false" ht="15" hidden="false" customHeight="true" outlineLevel="0" collapsed="false">
      <c r="A86" s="15" t="n">
        <v>74</v>
      </c>
      <c r="B86" s="15" t="s">
        <v>312</v>
      </c>
      <c r="C86" s="16" t="s">
        <v>313</v>
      </c>
      <c r="D86" s="15" t="s">
        <v>314</v>
      </c>
      <c r="E86" s="15" t="n">
        <v>30</v>
      </c>
      <c r="F86" s="15" t="s">
        <v>315</v>
      </c>
      <c r="G86" s="17" t="s">
        <v>40</v>
      </c>
      <c r="H86" s="16"/>
    </row>
    <row r="87" customFormat="false" ht="15" hidden="false" customHeight="true" outlineLevel="0" collapsed="false">
      <c r="A87" s="15" t="n">
        <v>75</v>
      </c>
      <c r="B87" s="15" t="s">
        <v>312</v>
      </c>
      <c r="C87" s="16" t="s">
        <v>316</v>
      </c>
      <c r="D87" s="15" t="s">
        <v>276</v>
      </c>
      <c r="E87" s="15" t="n">
        <v>20</v>
      </c>
      <c r="F87" s="15" t="s">
        <v>226</v>
      </c>
      <c r="G87" s="17" t="s">
        <v>40</v>
      </c>
      <c r="H87" s="16"/>
    </row>
    <row r="88" customFormat="false" ht="15" hidden="false" customHeight="true" outlineLevel="0" collapsed="false">
      <c r="A88" s="15" t="n">
        <v>76</v>
      </c>
      <c r="B88" s="15" t="s">
        <v>312</v>
      </c>
      <c r="C88" s="16" t="s">
        <v>317</v>
      </c>
      <c r="D88" s="15" t="s">
        <v>318</v>
      </c>
      <c r="E88" s="15" t="n">
        <v>101</v>
      </c>
      <c r="F88" s="15" t="s">
        <v>319</v>
      </c>
      <c r="G88" s="17" t="s">
        <v>40</v>
      </c>
      <c r="H88" s="16"/>
    </row>
    <row r="89" customFormat="false" ht="15" hidden="false" customHeight="true" outlineLevel="0" collapsed="false">
      <c r="A89" s="15" t="n">
        <v>77</v>
      </c>
      <c r="B89" s="15" t="s">
        <v>312</v>
      </c>
      <c r="C89" s="16" t="s">
        <v>320</v>
      </c>
      <c r="D89" s="15" t="s">
        <v>318</v>
      </c>
      <c r="E89" s="15" t="n">
        <v>14</v>
      </c>
      <c r="F89" s="15" t="s">
        <v>184</v>
      </c>
      <c r="G89" s="17" t="s">
        <v>40</v>
      </c>
      <c r="H89" s="16"/>
    </row>
    <row r="90" customFormat="false" ht="15" hidden="false" customHeight="true" outlineLevel="0" collapsed="false">
      <c r="A90" s="13" t="s">
        <v>321</v>
      </c>
      <c r="B90" s="14"/>
      <c r="C90" s="14"/>
      <c r="D90" s="14"/>
      <c r="E90" s="14"/>
      <c r="F90" s="14"/>
      <c r="G90" s="14"/>
      <c r="H90" s="14"/>
    </row>
    <row r="91" customFormat="false" ht="15" hidden="false" customHeight="true" outlineLevel="0" collapsed="false">
      <c r="A91" s="15" t="n">
        <v>78</v>
      </c>
      <c r="B91" s="15" t="s">
        <v>322</v>
      </c>
      <c r="C91" s="16" t="s">
        <v>323</v>
      </c>
      <c r="D91" s="15" t="s">
        <v>267</v>
      </c>
      <c r="E91" s="15" t="n">
        <v>100</v>
      </c>
      <c r="F91" s="15" t="s">
        <v>184</v>
      </c>
      <c r="G91" s="17" t="s">
        <v>40</v>
      </c>
      <c r="H91" s="16"/>
    </row>
    <row r="92" customFormat="false" ht="15" hidden="false" customHeight="true" outlineLevel="0" collapsed="false">
      <c r="A92" s="15" t="n">
        <v>79</v>
      </c>
      <c r="B92" s="15" t="s">
        <v>322</v>
      </c>
      <c r="C92" s="16" t="s">
        <v>324</v>
      </c>
      <c r="D92" s="15" t="s">
        <v>267</v>
      </c>
      <c r="E92" s="15" t="n">
        <v>100</v>
      </c>
      <c r="F92" s="15" t="s">
        <v>184</v>
      </c>
      <c r="G92" s="17" t="s">
        <v>40</v>
      </c>
      <c r="H92" s="16" t="s">
        <v>265</v>
      </c>
    </row>
    <row r="93" customFormat="false" ht="15" hidden="false" customHeight="true" outlineLevel="0" collapsed="false">
      <c r="A93" s="15" t="n">
        <v>80</v>
      </c>
      <c r="B93" s="15" t="s">
        <v>322</v>
      </c>
      <c r="C93" s="16" t="s">
        <v>325</v>
      </c>
      <c r="D93" s="15" t="s">
        <v>267</v>
      </c>
      <c r="E93" s="15" t="n">
        <v>100</v>
      </c>
      <c r="F93" s="15" t="s">
        <v>184</v>
      </c>
      <c r="G93" s="17" t="s">
        <v>40</v>
      </c>
      <c r="H93" s="16"/>
    </row>
    <row r="94" customFormat="false" ht="15" hidden="false" customHeight="true" outlineLevel="0" collapsed="false">
      <c r="A94" s="15" t="n">
        <v>81</v>
      </c>
      <c r="B94" s="15" t="s">
        <v>322</v>
      </c>
      <c r="C94" s="16" t="s">
        <v>326</v>
      </c>
      <c r="D94" s="15" t="s">
        <v>267</v>
      </c>
      <c r="E94" s="15" t="n">
        <v>100</v>
      </c>
      <c r="F94" s="15" t="s">
        <v>184</v>
      </c>
      <c r="G94" s="17" t="s">
        <v>40</v>
      </c>
      <c r="H94" s="16"/>
    </row>
    <row r="95" customFormat="false" ht="15" hidden="false" customHeight="true" outlineLevel="0" collapsed="false">
      <c r="A95" s="15" t="n">
        <v>82</v>
      </c>
      <c r="B95" s="15" t="s">
        <v>322</v>
      </c>
      <c r="C95" s="16" t="s">
        <v>327</v>
      </c>
      <c r="D95" s="15" t="s">
        <v>328</v>
      </c>
      <c r="E95" s="15" t="n">
        <v>100</v>
      </c>
      <c r="F95" s="15" t="s">
        <v>184</v>
      </c>
      <c r="G95" s="17" t="s">
        <v>40</v>
      </c>
      <c r="H95" s="16"/>
    </row>
    <row r="96" customFormat="false" ht="15" hidden="false" customHeight="true" outlineLevel="0" collapsed="false">
      <c r="A96" s="15" t="n">
        <v>83</v>
      </c>
      <c r="B96" s="15" t="s">
        <v>322</v>
      </c>
      <c r="C96" s="16" t="s">
        <v>329</v>
      </c>
      <c r="D96" s="15" t="s">
        <v>330</v>
      </c>
      <c r="E96" s="15" t="n">
        <v>50</v>
      </c>
      <c r="F96" s="15" t="s">
        <v>184</v>
      </c>
      <c r="G96" s="17" t="s">
        <v>40</v>
      </c>
      <c r="H96" s="16" t="s">
        <v>265</v>
      </c>
    </row>
    <row r="97" customFormat="false" ht="15" hidden="false" customHeight="true" outlineLevel="0" collapsed="false">
      <c r="A97" s="15" t="n">
        <v>84</v>
      </c>
      <c r="B97" s="15" t="s">
        <v>322</v>
      </c>
      <c r="C97" s="16" t="s">
        <v>331</v>
      </c>
      <c r="D97" s="15" t="s">
        <v>330</v>
      </c>
      <c r="E97" s="15" t="n">
        <v>10</v>
      </c>
      <c r="F97" s="15" t="s">
        <v>206</v>
      </c>
      <c r="G97" s="17" t="s">
        <v>40</v>
      </c>
      <c r="H97" s="16"/>
    </row>
    <row r="98" customFormat="false" ht="15" hidden="false" customHeight="true" outlineLevel="0" collapsed="false">
      <c r="A98" s="15" t="n">
        <v>85</v>
      </c>
      <c r="B98" s="15" t="s">
        <v>322</v>
      </c>
      <c r="C98" s="16" t="s">
        <v>332</v>
      </c>
      <c r="D98" s="15" t="s">
        <v>333</v>
      </c>
      <c r="E98" s="15" t="n">
        <v>20</v>
      </c>
      <c r="F98" s="15" t="s">
        <v>229</v>
      </c>
      <c r="G98" s="17" t="s">
        <v>40</v>
      </c>
      <c r="H98" s="16"/>
    </row>
    <row r="99" customFormat="false" ht="15" hidden="false" customHeight="true" outlineLevel="0" collapsed="false">
      <c r="A99" s="15" t="n">
        <v>86</v>
      </c>
      <c r="B99" s="15" t="s">
        <v>322</v>
      </c>
      <c r="C99" s="16" t="s">
        <v>334</v>
      </c>
      <c r="D99" s="15" t="s">
        <v>333</v>
      </c>
      <c r="E99" s="15" t="n">
        <v>10</v>
      </c>
      <c r="F99" s="15" t="s">
        <v>229</v>
      </c>
      <c r="G99" s="17" t="s">
        <v>40</v>
      </c>
      <c r="H99" s="16"/>
    </row>
    <row r="100" customFormat="false" ht="15" hidden="false" customHeight="true" outlineLevel="0" collapsed="false">
      <c r="A100" s="15" t="n">
        <v>87</v>
      </c>
      <c r="B100" s="15" t="s">
        <v>322</v>
      </c>
      <c r="C100" s="16" t="s">
        <v>335</v>
      </c>
      <c r="D100" s="15" t="s">
        <v>186</v>
      </c>
      <c r="E100" s="15" t="n">
        <v>250</v>
      </c>
      <c r="F100" s="15" t="s">
        <v>187</v>
      </c>
      <c r="G100" s="17" t="s">
        <v>40</v>
      </c>
      <c r="H100" s="16"/>
    </row>
    <row r="101" customFormat="false" ht="15" hidden="false" customHeight="true" outlineLevel="0" collapsed="false">
      <c r="A101" s="15" t="n">
        <v>88</v>
      </c>
      <c r="B101" s="15" t="s">
        <v>322</v>
      </c>
      <c r="C101" s="16" t="s">
        <v>336</v>
      </c>
      <c r="D101" s="15" t="s">
        <v>186</v>
      </c>
      <c r="E101" s="15" t="n">
        <v>250</v>
      </c>
      <c r="F101" s="15" t="s">
        <v>187</v>
      </c>
      <c r="G101" s="17" t="s">
        <v>40</v>
      </c>
      <c r="H101" s="16"/>
    </row>
    <row r="102" customFormat="false" ht="15" hidden="false" customHeight="true" outlineLevel="0" collapsed="false">
      <c r="A102" s="15" t="n">
        <v>89</v>
      </c>
      <c r="B102" s="15" t="s">
        <v>322</v>
      </c>
      <c r="C102" s="16" t="s">
        <v>337</v>
      </c>
      <c r="D102" s="15" t="s">
        <v>338</v>
      </c>
      <c r="E102" s="15" t="n">
        <v>5</v>
      </c>
      <c r="F102" s="15" t="s">
        <v>339</v>
      </c>
      <c r="G102" s="17" t="s">
        <v>40</v>
      </c>
      <c r="H102" s="16"/>
    </row>
    <row r="103" customFormat="false" ht="15" hidden="false" customHeight="true" outlineLevel="0" collapsed="false">
      <c r="A103" s="15" t="n">
        <v>90</v>
      </c>
      <c r="B103" s="15" t="s">
        <v>322</v>
      </c>
      <c r="C103" s="16" t="s">
        <v>340</v>
      </c>
      <c r="D103" s="15" t="s">
        <v>341</v>
      </c>
      <c r="E103" s="15" t="n">
        <v>30</v>
      </c>
      <c r="F103" s="15" t="s">
        <v>187</v>
      </c>
      <c r="G103" s="17" t="s">
        <v>40</v>
      </c>
      <c r="H103" s="16"/>
    </row>
    <row r="104" customFormat="false" ht="15" hidden="false" customHeight="true" outlineLevel="0" collapsed="false">
      <c r="A104" s="15" t="n">
        <v>91</v>
      </c>
      <c r="B104" s="15" t="s">
        <v>322</v>
      </c>
      <c r="C104" s="16" t="s">
        <v>342</v>
      </c>
      <c r="D104" s="15" t="s">
        <v>282</v>
      </c>
      <c r="E104" s="15" t="n">
        <v>10</v>
      </c>
      <c r="F104" s="15" t="s">
        <v>187</v>
      </c>
      <c r="G104" s="17" t="s">
        <v>40</v>
      </c>
      <c r="H104" s="16"/>
    </row>
    <row r="105" customFormat="false" ht="15" hidden="false" customHeight="true" outlineLevel="0" collapsed="false">
      <c r="A105" s="15" t="n">
        <v>92</v>
      </c>
      <c r="B105" s="15" t="s">
        <v>322</v>
      </c>
      <c r="C105" s="16" t="s">
        <v>343</v>
      </c>
      <c r="D105" s="15" t="s">
        <v>344</v>
      </c>
      <c r="E105" s="15" t="n">
        <v>30</v>
      </c>
      <c r="F105" s="15" t="s">
        <v>187</v>
      </c>
      <c r="G105" s="17" t="s">
        <v>40</v>
      </c>
      <c r="H105" s="16"/>
    </row>
    <row r="106" customFormat="false" ht="15" hidden="false" customHeight="true" outlineLevel="0" collapsed="false">
      <c r="A106" s="15" t="n">
        <v>93</v>
      </c>
      <c r="B106" s="15" t="s">
        <v>322</v>
      </c>
      <c r="C106" s="16" t="s">
        <v>345</v>
      </c>
      <c r="D106" s="15" t="s">
        <v>346</v>
      </c>
      <c r="E106" s="15" t="n">
        <v>20</v>
      </c>
      <c r="F106" s="15" t="s">
        <v>187</v>
      </c>
      <c r="G106" s="17" t="s">
        <v>40</v>
      </c>
      <c r="H106" s="16"/>
    </row>
  </sheetData>
  <autoFilter ref="A4:H106"/>
  <hyperlinks>
    <hyperlink ref="G6" r:id="rId1" display="Apply ↗"/>
    <hyperlink ref="G7" r:id="rId2" display="Apply ↗"/>
    <hyperlink ref="G8" r:id="rId3" display="Apply ↗"/>
    <hyperlink ref="G9" r:id="rId4" display="Apply ↗"/>
    <hyperlink ref="G10" r:id="rId5" display="Apply ↗"/>
    <hyperlink ref="G11" r:id="rId6" display="Apply ↗"/>
    <hyperlink ref="G12" r:id="rId7" display="Apply ↗"/>
    <hyperlink ref="G14" r:id="rId8" display="Apply ↗"/>
    <hyperlink ref="G15" r:id="rId9" display="Apply ↗"/>
    <hyperlink ref="G16" r:id="rId10" display="Apply ↗"/>
    <hyperlink ref="G17" r:id="rId11" display="Apply ↗"/>
    <hyperlink ref="G18" r:id="rId12" display="Apply ↗"/>
    <hyperlink ref="G19" r:id="rId13" display="Apply ↗"/>
    <hyperlink ref="G20" r:id="rId14" display="Apply ↗"/>
    <hyperlink ref="G21" r:id="rId15" display="Apply ↗"/>
    <hyperlink ref="G22" r:id="rId16" display="Apply ↗"/>
    <hyperlink ref="G23" r:id="rId17" display="Apply ↗"/>
    <hyperlink ref="G24" r:id="rId18" display="Apply ↗"/>
    <hyperlink ref="G25" r:id="rId19" display="Apply ↗"/>
    <hyperlink ref="G26" r:id="rId20" display="Apply ↗"/>
    <hyperlink ref="G28" r:id="rId21" display="Apply ↗"/>
    <hyperlink ref="G29" r:id="rId22" display="Apply ↗"/>
    <hyperlink ref="G30" r:id="rId23" display="Apply ↗"/>
    <hyperlink ref="G31" r:id="rId24" display="Apply ↗"/>
    <hyperlink ref="G32" r:id="rId25" display="Apply ↗"/>
    <hyperlink ref="G33" r:id="rId26" display="Apply ↗"/>
    <hyperlink ref="G35" r:id="rId27" display="Apply ↗"/>
    <hyperlink ref="G36" r:id="rId28" display="Apply ↗"/>
    <hyperlink ref="G37" r:id="rId29" display="Apply ↗"/>
    <hyperlink ref="G38" r:id="rId30" display="Apply ↗"/>
    <hyperlink ref="G40" r:id="rId31" display="Apply ↗"/>
    <hyperlink ref="G41" r:id="rId32" display="Apply ↗"/>
    <hyperlink ref="G42" r:id="rId33" display="Apply ↗"/>
    <hyperlink ref="G43" r:id="rId34" display="Apply ↗"/>
    <hyperlink ref="G44" r:id="rId35" display="Apply ↗"/>
    <hyperlink ref="G45" r:id="rId36" display="Apply ↗"/>
    <hyperlink ref="G46" r:id="rId37" display="Apply ↗"/>
    <hyperlink ref="G47" r:id="rId38" display="Apply ↗"/>
    <hyperlink ref="G48" r:id="rId39" display="Apply ↗"/>
    <hyperlink ref="G50" r:id="rId40" display="Apply ↗"/>
    <hyperlink ref="G51" r:id="rId41" display="Apply ↗"/>
    <hyperlink ref="G52" r:id="rId42" display="Apply ↗"/>
    <hyperlink ref="G53" r:id="rId43" display="Apply ↗"/>
    <hyperlink ref="G54" r:id="rId44" display="Apply ↗"/>
    <hyperlink ref="G55" r:id="rId45" display="Apply ↗"/>
    <hyperlink ref="G56" r:id="rId46" display="Apply ↗"/>
    <hyperlink ref="G57" r:id="rId47" display="Apply ↗"/>
    <hyperlink ref="G58" r:id="rId48" display="Apply ↗"/>
    <hyperlink ref="G59" r:id="rId49" display="Apply ↗"/>
    <hyperlink ref="G60" r:id="rId50" display="Apply ↗"/>
    <hyperlink ref="G61" r:id="rId51" display="Apply ↗"/>
    <hyperlink ref="G62" r:id="rId52" display="Apply ↗"/>
    <hyperlink ref="G63" r:id="rId53" display="Apply ↗"/>
    <hyperlink ref="G64" r:id="rId54" display="Apply ↗"/>
    <hyperlink ref="G65" r:id="rId55" display="Apply ↗"/>
    <hyperlink ref="G66" r:id="rId56" display="Apply ↗"/>
    <hyperlink ref="G67" r:id="rId57" display="Apply ↗"/>
    <hyperlink ref="G68" r:id="rId58" display="Apply ↗"/>
    <hyperlink ref="G69" r:id="rId59" display="Apply ↗"/>
    <hyperlink ref="G70" r:id="rId60" display="Apply ↗"/>
    <hyperlink ref="G72" r:id="rId61" display="Apply ↗"/>
    <hyperlink ref="G73" r:id="rId62" display="Apply ↗"/>
    <hyperlink ref="G74" r:id="rId63" display="Apply ↗"/>
    <hyperlink ref="G75" r:id="rId64" display="Apply ↗"/>
    <hyperlink ref="G76" r:id="rId65" display="Apply ↗"/>
    <hyperlink ref="G77" r:id="rId66" display="Apply ↗"/>
    <hyperlink ref="G78" r:id="rId67" display="Apply ↗"/>
    <hyperlink ref="G79" r:id="rId68" display="Apply ↗"/>
    <hyperlink ref="G80" r:id="rId69" display="Apply ↗"/>
    <hyperlink ref="G81" r:id="rId70" display="Apply ↗"/>
    <hyperlink ref="G82" r:id="rId71" display="Apply ↗"/>
    <hyperlink ref="G83" r:id="rId72" display="Apply ↗"/>
    <hyperlink ref="G84" r:id="rId73" display="Apply ↗"/>
    <hyperlink ref="G86" r:id="rId74" display="Apply ↗"/>
    <hyperlink ref="G87" r:id="rId75" display="Apply ↗"/>
    <hyperlink ref="G88" r:id="rId76" display="Apply ↗"/>
    <hyperlink ref="G89" r:id="rId77" display="Apply ↗"/>
    <hyperlink ref="G91" r:id="rId78" display="Apply ↗"/>
    <hyperlink ref="G92" r:id="rId79" display="Apply ↗"/>
    <hyperlink ref="G93" r:id="rId80" display="Apply ↗"/>
    <hyperlink ref="G94" r:id="rId81" display="Apply ↗"/>
    <hyperlink ref="G95" r:id="rId82" display="Apply ↗"/>
    <hyperlink ref="G96" r:id="rId83" display="Apply ↗"/>
    <hyperlink ref="G97" r:id="rId84" display="Apply ↗"/>
    <hyperlink ref="G98" r:id="rId85" display="Apply ↗"/>
    <hyperlink ref="G99" r:id="rId86" display="Apply ↗"/>
    <hyperlink ref="G100" r:id="rId87" display="Apply ↗"/>
    <hyperlink ref="G101" r:id="rId88" display="Apply ↗"/>
    <hyperlink ref="G102" r:id="rId89" display="Apply ↗"/>
    <hyperlink ref="G103" r:id="rId90" display="Apply ↗"/>
    <hyperlink ref="G104" r:id="rId91" display="Apply ↗"/>
    <hyperlink ref="G105" r:id="rId92" display="Apply ↗"/>
    <hyperlink ref="G106" r:id="rId93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9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2026-10-07T07:41:46Z</dcterms:created>
  <dc:creator>openpyxl</dc:creator>
  <dc:description/>
  <dc:language>en-US</dc:language>
  <cp:lastModifiedBy/>
  <dcterms:modified xsi:type="dcterms:W3CDTF">2026-10-13T07:17:04Z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