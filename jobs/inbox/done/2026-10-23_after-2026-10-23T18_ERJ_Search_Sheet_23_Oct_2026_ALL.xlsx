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VA &amp; Admin" sheetId="3" state="visible" r:id="rId5"/>
    <sheet name="HR &amp; Legal" sheetId="4" state="visible" r:id="rId6"/>
    <sheet name="Languages &amp; Teaching" sheetId="5" state="visible" r:id="rId7"/>
    <sheet name="Sales &amp; Marketing" sheetId="6" state="visible" r:id="rId8"/>
    <sheet name="Creative &amp; Content" sheetId="7" state="visible" r:id="rId9"/>
    <sheet name="Tech &amp; Operations" sheetId="8" state="visible" r:id="rId10"/>
    <sheet name="10Alytics (Remote)" sheetId="9" state="visible" r:id="rId11"/>
    <sheet name="micro1 Referral" sheetId="10" state="visible" r:id="rId12"/>
  </sheets>
  <definedNames>
    <definedName function="false" hidden="false" localSheetId="8" name="_xlnm.Print_Area" vbProcedure="false">'10Alytics (Remote)'!$A$1:$L$22</definedName>
    <definedName function="false" hidden="true" localSheetId="8" name="_xlnm._FilterDatabase" vbProcedure="false">'10Alytics (Remote)'!$A$4:$L$22</definedName>
    <definedName function="false" hidden="false" localSheetId="6" name="_xlnm.Print_Area" vbProcedure="false">'Creative &amp; Content'!$A$1:$L$10</definedName>
    <definedName function="false" hidden="true" localSheetId="6" name="_xlnm._FilterDatabase" vbProcedure="false">'Creative &amp; Content'!$A$4:$L$10</definedName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3" name="_xlnm.Print_Area" vbProcedure="false">'HR &amp; Legal'!$A$1:$L$9</definedName>
    <definedName function="false" hidden="true" localSheetId="3" name="_xlnm._FilterDatabase" vbProcedure="false">'HR &amp; Legal'!$A$4:$L$9</definedName>
    <definedName function="false" hidden="false" localSheetId="4" name="_xlnm.Print_Area" vbProcedure="false">'Languages &amp; Teaching'!$A$1:$L$7</definedName>
    <definedName function="false" hidden="true" localSheetId="4" name="_xlnm._FilterDatabase" vbProcedure="false">'Languages &amp; Teaching'!$A$4:$L$7</definedName>
    <definedName function="false" hidden="false" localSheetId="9" name="_xlnm.Print_Area" vbProcedure="false">'micro1 Referral'!$A$1:$H$16</definedName>
    <definedName function="false" hidden="true" localSheetId="9" name="_xlnm._FilterDatabase" vbProcedure="false">'micro1 Referral'!$A$4:$H$16</definedName>
    <definedName function="false" hidden="false" localSheetId="5" name="_xlnm.Print_Area" vbProcedure="false">'Sales &amp; Marketing'!$A$1:$L$7</definedName>
    <definedName function="false" hidden="true" localSheetId="5" name="_xlnm._FilterDatabase" vbProcedure="false">'Sales &amp; Marketing'!$A$4:$L$7</definedName>
    <definedName function="false" hidden="false" localSheetId="7" name="_xlnm.Print_Area" vbProcedure="false">'Tech &amp; Operations'!$A$1:$L$11</definedName>
    <definedName function="false" hidden="true" localSheetId="7" name="_xlnm._FilterDatabase" vbProcedure="false">'Tech &amp; Operations'!$A$4:$L$11</definedName>
    <definedName function="false" hidden="false" localSheetId="2" name="_xlnm.Print_Area" vbProcedure="false">'VA &amp; Admin'!$A$1:$L$10</definedName>
    <definedName function="false" hidden="true" localSheetId="2" name="_xlnm._FilterDatabase" vbProcedure="false">'VA &amp; Admin'!$A$4:$L$10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<sst xmlns="http://schemas.openxmlformats.org/spreadsheetml/2006/main" count="617" uniqueCount="220">
  <si>
    <t xml:space="preserve">ERJ Remote Job Search Sheet — 23 Oct 2026</t>
  </si>
  <si>
    <t xml:space="preserve">Posted 19–23 Oct 2026 (since the 19 Oct sheet), plus your two new career pages · fully remote · open to people living in Nigeria · no link from any earlier ERJ sheet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</si>
  <si>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</si>
  <si>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</si>
  <si>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</si>
  <si>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</si>
  <si>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</si>
  <si>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VA &amp; Admin</t>
  </si>
  <si>
    <t xml:space="preserve">HR &amp; Legal</t>
  </si>
  <si>
    <t xml:space="preserve">Languages &amp; Teaching</t>
  </si>
  <si>
    <t xml:space="preserve">Sales &amp; Marketing</t>
  </si>
  <si>
    <t xml:space="preserve">Creative &amp; Content</t>
  </si>
  <si>
    <t xml:space="preserve">Tech &amp; Operations</t>
  </si>
  <si>
    <t xml:space="preserve">10Alytics (Remote)</t>
  </si>
  <si>
    <t xml:space="preserve">micro1 Referral</t>
  </si>
  <si>
    <t xml:space="preserve">Notes</t>
  </si>
  <si>
    <t xml:space="preserve">• Rule used: the posting names Nigeria, Africa, or worldwide/any country. EMEA-only and plain "Remote" roles were left out, except the 10Alytics tab (see below).</t>
  </si>
  <si>
    <t xml:space="preserve">• New sources this round: Openhill Global (3 roles listed "Remote / Nigeria"), 10Alytics (17 roles, all "Remote") and Crossover (2 teaching roles open to Nigeria).</t>
  </si>
  <si>
    <t xml:space="preserve">• 10Alytics tab: every role is marked Remote but no countries or posting dates are shown, so those rows are "Check before applying". Openhill roles in London/Singapore and its Full Stack Developer (no country) were left out; so was Crossover VP of Programme Management (hybrid).</t>
  </si>
  <si>
    <t xml:space="preserve">• micro1 links open each exact job with your referral code built in. 20four7VA roles all have region preference "Any".</t>
  </si>
  <si>
    <t xml:space="preserve">• Also left out: Helium Health roles (on-site), Social Discovery Group roles tied to one country, Gramian US-only and code-licensing posts, micro1 US-licensed attorney, military, macroeconomist and broken-pay roles, and 20four7VA "Offshore or Nearshore"-only roles.</t>
  </si>
  <si>
    <t xml:space="preserve">Customer Support — new remote roles open to Nigeria (23 Oct 2026)</t>
  </si>
  <si>
    <t xml:space="preserve">From company career pages (Ashby, Greenhouse, Lever, Workable) and official teaching platforms. Nothing here appears on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</si>
  <si>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</si>
  <si>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</si>
  <si>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</si>
  <si>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</si>
  <si>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</si>
  <si>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</si>
  <si>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</si>
  <si>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</si>
  <si>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ATS</t>
  </si>
  <si>
    <t xml:space="preserve">Posted</t>
  </si>
  <si>
    <t xml:space="preserve">Apply link</t>
  </si>
  <si>
    <t xml:space="preserve">Note</t>
  </si>
  <si>
    <t xml:space="preserve">▸ Nigeria-based remote</t>
  </si>
  <si>
    <t xml:space="preserve">Nigeria (remote)</t>
  </si>
  <si>
    <t xml:space="preserve">Head of Customer Experience</t>
  </si>
  <si>
    <t xml:space="preserve">Jobgether (partner company)</t>
  </si>
  <si>
    <t xml:space="preserve">3+ yrs, team lead</t>
  </si>
  <si>
    <t xml:space="preserve">CAD 70k–80k + up to 15% bonus</t>
  </si>
  <si>
    <t xml:space="preserve">Customer experience/retention/loyalty; managed a customer-facing team</t>
  </si>
  <si>
    <t xml:space="preserve">Lever</t>
  </si>
  <si>
    <t xml:space="preserve">19 Oct</t>
  </si>
  <si>
    <t xml:space="preserve">Apply ↗</t>
  </si>
  <si>
    <t xml:space="preserve">VA &amp; Admin — new remote roles open to Nigeria (23 Oct 2026)</t>
  </si>
  <si>
    <t xml:space="preserve">▸ Worldwide / global</t>
  </si>
  <si>
    <t xml:space="preserve">Worldwide; REGION PREFERENCES: Any</t>
  </si>
  <si>
    <t xml:space="preserve">Administrative &amp; Student Accounts Virtual Assistant (CPT-11642)</t>
  </si>
  <si>
    <t xml:space="preserve">20four7VA</t>
  </si>
  <si>
    <t xml:space="preserve">Entry to mid</t>
  </si>
  <si>
    <t xml:space="preserve">Competitive rates, paid weekly (amount not stated)</t>
  </si>
  <si>
    <t xml:space="preserve">Business support / admin experience; strong Excel and spreadsheet management; high accuracy with data; professional written English</t>
  </si>
  <si>
    <t xml:space="preserve">Breezy</t>
  </si>
  <si>
    <t xml:space="preserve">Independent contractor; 10 hrs/wk Mon-Fri, flexible PST hours, may grow</t>
  </si>
  <si>
    <t xml:space="preserve">Business Support Virtual Assistant (CPT-11579)</t>
  </si>
  <si>
    <t xml:space="preserve">Spreadsheet and data-entry experience (required); MS Office / Google Workspace; clear written and spoken English; organisation and time management</t>
  </si>
  <si>
    <t xml:space="preserve">21 Oct</t>
  </si>
  <si>
    <t xml:space="preserve">Independent contractor; 20 hrs/wk (VA1) or 40 hrs/wk (VA2-3), Mon-Fri, CST hours TBD</t>
  </si>
  <si>
    <t xml:space="preserve">Construction Project Administrative Assistant (CPT-11662)</t>
  </si>
  <si>
    <t xml:space="preserve">Mid-level</t>
  </si>
  <si>
    <t xml:space="preserve">Admin / project coordination / ops support experience; document management and deadline tracking; Google Workspace and spreadsheets; Bluebeam and ClickUp preferred</t>
  </si>
  <si>
    <t xml:space="preserve">22 Oct</t>
  </si>
  <si>
    <t xml:space="preserve">Independent contractor; 20-30 hrs/wk rising toward 40, Mon-Fri, US hours (EST/MST listed)</t>
  </si>
  <si>
    <t xml:space="preserve">Remote / Nigeria</t>
  </si>
  <si>
    <t xml:space="preserve">Virtual Assistant (VA)</t>
  </si>
  <si>
    <t xml:space="preserve">Openhill Global</t>
  </si>
  <si>
    <t xml:space="preserve">See posting</t>
  </si>
  <si>
    <t xml:space="preserve">Not listed</t>
  </si>
  <si>
    <t xml:space="preserve">Full-time; admin support to the executive and operations team</t>
  </si>
  <si>
    <t xml:space="preserve">Company site</t>
  </si>
  <si>
    <t xml:space="preserve">Open 23 Oct</t>
  </si>
  <si>
    <t xml:space="preserve">HR &amp; Legal — new remote roles open to Nigeria (23 Oct 2026)</t>
  </si>
  <si>
    <t xml:space="preserve">Anywhere (100% remote company; core hours for real-time collaboration)</t>
  </si>
  <si>
    <t xml:space="preserve">Head of People</t>
  </si>
  <si>
    <t xml:space="preserve">VRChat</t>
  </si>
  <si>
    <t xml:space="preserve">Senior leadership</t>
  </si>
  <si>
    <t xml:space="preserve">Not stated (stock options, unlimited PTO, parental leave)</t>
  </si>
  <si>
    <t xml:space="preserve">Led a lean People function at a growing tech company; built people programmes with measurable impact; AI/automation in People workflows; managed fully remote global teams</t>
  </si>
  <si>
    <t xml:space="preserve">20 Oct</t>
  </si>
  <si>
    <t xml:space="preserve">Benefits text mentions only US 401K / Canada RRSP; confirm payroll setup for Nigeria</t>
  </si>
  <si>
    <t xml:space="preserve">Head of Talent</t>
  </si>
  <si>
    <t xml:space="preserve">Senior / Head</t>
  </si>
  <si>
    <t xml:space="preserve">Not stated (stock options, unlimited PTO)</t>
  </si>
  <si>
    <t xml:space="preserve">8+ yrs full-cycle recruiting incl. building a function from scratch; technical sourcing for engineering roles; recruiting systems and onboarding; measurable hiring outcomes</t>
  </si>
  <si>
    <t xml:space="preserve">Human Resources Specialist</t>
  </si>
  <si>
    <t xml:space="preserve">Full-time; lead HR initiatives and team culture</t>
  </si>
  <si>
    <t xml:space="preserve">Languages &amp; Teaching — new remote roles open to Nigeria (23 Oct 2026)</t>
  </si>
  <si>
    <t xml:space="preserve">Remote (listed as open in Nigeria)</t>
  </si>
  <si>
    <t xml:space="preserve">AI-Driven Learning Analyst (2 Hour Learning)</t>
  </si>
  <si>
    <t xml:space="preserve">Crossover</t>
  </si>
  <si>
    <t xml:space="preserve">$60k/yr ($30/hr)</t>
  </si>
  <si>
    <t xml:space="preserve">Analyse learning data with AI tools; full-time; Crossover skills tests</t>
  </si>
  <si>
    <t xml:space="preserve">Worldwide, fully remote</t>
  </si>
  <si>
    <t xml:space="preserve">Director of Academics (2 Hour Learning)</t>
  </si>
  <si>
    <t xml:space="preserve">7+ yrs leadership</t>
  </si>
  <si>
    <t xml:space="preserve">$400k/yr ($200/hr)</t>
  </si>
  <si>
    <t xml:space="preserve">Education/EdTech leadership; K–12 learning-science expertise; strong AI fluency; full-time 40 hrs/week</t>
  </si>
  <si>
    <t xml:space="preserve">Sales &amp; Marketing — new remote roles open to Nigeria (23 Oct 2026)</t>
  </si>
  <si>
    <t xml:space="preserve">Social Media &amp; Marketing Virtual Assistant (CPT-11672)</t>
  </si>
  <si>
    <t xml:space="preserve">Social media management / marketing support experience; Facebook and Instagram publishing; strong organisation and admin; excellent written English</t>
  </si>
  <si>
    <t xml:space="preserve">Independent contractor; 10 hrs/wk growing to 20+, Mon-Fri, flexible hours</t>
  </si>
  <si>
    <t xml:space="preserve">Worldwide (also Serbia, Poland, Georgia, Armenia); fully remote</t>
  </si>
  <si>
    <t xml:space="preserve">Senior Marketing Analyst</t>
  </si>
  <si>
    <t xml:space="preserve">Social Discovery Group</t>
  </si>
  <si>
    <t xml:space="preserve">Senior</t>
  </si>
  <si>
    <t xml:space="preserve">Not disclosed; 28 vacation + 7 wellness days</t>
  </si>
  <si>
    <t xml:space="preserve">A/B testing; strong SQL on large datasets; statistics and backtesting; performance-marketing economics (LTV, CAC, ROAS) and BI tools; English B2+</t>
  </si>
  <si>
    <t xml:space="preserve">Python and early-LTV modelling a plus</t>
  </si>
  <si>
    <t xml:space="preserve">Creative &amp; Content — new remote roles open to Nigeria (23 Oct 2026)</t>
  </si>
  <si>
    <t xml:space="preserve">Anywhere (fully remote, no country or time-zone limit stated)</t>
  </si>
  <si>
    <t xml:space="preserve">2D Designer (part-time contract)</t>
  </si>
  <si>
    <t xml:space="preserve">Mid-level / contract</t>
  </si>
  <si>
    <t xml:space="preserve">Hourly; applicants state their own rate</t>
  </si>
  <si>
    <t xml:space="preserve">Portfolio of 2D work (marketing graphics, UI/storefront assets); icons, thumbnails and mobile layouts; exporting to platform specs; Photoshop/Illustrator/Figma</t>
  </si>
  <si>
    <t xml:space="preserve">Part-time contract running to end of year; ID, reference and background checks</t>
  </si>
  <si>
    <t xml:space="preserve">▸ Region list incl. Nigeria</t>
  </si>
  <si>
    <t xml:space="preserve">Nigeria (remote); sister postings cover other emerging-market countries</t>
  </si>
  <si>
    <t xml:space="preserve">Senior Illustrator &amp; Graphic Artist (Multi-Style Digital Art)</t>
  </si>
  <si>
    <t xml:space="preserve">Gramian Consulting Group</t>
  </si>
  <si>
    <t xml:space="preserve">Senior / contract</t>
  </si>
  <si>
    <t xml:space="preserve">Paid per completed task (each task ~30-40 min)</t>
  </si>
  <si>
    <t xml:space="preserve">Professional illustration/design experience; strong multi-style portfolio; advanced Procreate, Illustrator, Photoshop; degree or equivalent; strong written English</t>
  </si>
  <si>
    <t xml:space="preserve">Workable</t>
  </si>
  <si>
    <t xml:space="preserve">12-week AI-project contract; selection by portfolio review</t>
  </si>
  <si>
    <t xml:space="preserve">Graphic Designer &amp; Social Media Manager</t>
  </si>
  <si>
    <t xml:space="preserve">Part-time; visual content and social media management</t>
  </si>
  <si>
    <t xml:space="preserve">Tech &amp; Operations — new remote roles open to Nigeria (23 Oct 2026)</t>
  </si>
  <si>
    <t xml:space="preserve">Kajabi Website Development &amp; Automation VA (T-CPT-11654)</t>
  </si>
  <si>
    <t xml:space="preserve">Hands-on Kajabi development (required); Kajabi checkout, tagging and automations; maintaining existing sites; Zapier and AI-assisted dev preferred</t>
  </si>
  <si>
    <t xml:space="preserve">Independent contractor; 10 hrs/wk, flexible hours, may increase</t>
  </si>
  <si>
    <t xml:space="preserve">Worldwide (also Armenia, Georgia, Serbia, Poland); fully remote</t>
  </si>
  <si>
    <t xml:space="preserve">Junior System Administrator (Monitoring Team)</t>
  </si>
  <si>
    <t xml:space="preserve">Junior (2+ yrs)</t>
  </si>
  <si>
    <t xml:space="preserve">Not disclosed; 28 vacation + 7 wellness days, health cover or up to $1,000/yr</t>
  </si>
  <si>
    <t xml:space="preserve">Linux CLI, SSH/VPN, Bash; Zabbix and Grafana; monitoring basics; Jira/Confluence; English B1+</t>
  </si>
  <si>
    <t xml:space="preserve">Shift work: 5/2 x 8h plus 2/2 day and night shifts when covering</t>
  </si>
  <si>
    <t xml:space="preserve">Serbia or worldwide; fully remote</t>
  </si>
  <si>
    <t xml:space="preserve">Product Owner (Matchmaking)</t>
  </si>
  <si>
    <t xml:space="preserve">Mid to senior</t>
  </si>
  <si>
    <t xml:space="preserve">Customer experience / activation / onboarding product work; discovery products with large listing volumes; search, feed or recommendation relevance; A/B testing and hypotheses</t>
  </si>
  <si>
    <t xml:space="preserve">Dating/social-discovery products</t>
  </si>
  <si>
    <t xml:space="preserve">Worldwide; fully remote</t>
  </si>
  <si>
    <t xml:space="preserve">Senior CV Engineer</t>
  </si>
  <si>
    <t xml:space="preserve">Senior (5+ yrs)</t>
  </si>
  <si>
    <t xml:space="preserve">5+ yrs training diffusion models and modifying architectures; diffusers and transformers libraries; IP-adapters; backend in Python, Go or C#</t>
  </si>
  <si>
    <t xml:space="preserve">Nigeria (Abuja), Egypt, Ethiopia, South Africa, Argentina; LATAM / Africa / Eastern Europe</t>
  </si>
  <si>
    <t xml:space="preserve">HubSpot RevOps Administrator</t>
  </si>
  <si>
    <t xml:space="preserve">Scale Army</t>
  </si>
  <si>
    <t xml:space="preserve">Mid-level (2-3+ yrs)</t>
  </si>
  <si>
    <t xml:space="preserve">Not stated</t>
  </si>
  <si>
    <t xml:space="preserve">2-3+ yrs HubSpot admin / RevOps; HubSpot for SaaS/subscription; integrations with dialers, call recorders, email; automations, lead routing, lifecycle workflows; reporting dashboards</t>
  </si>
  <si>
    <t xml:space="preserve">Ashby</t>
  </si>
  <si>
    <t xml:space="preserve">Contract; 9am-5pm PST (US hours); application includes a skills video</t>
  </si>
  <si>
    <t xml:space="preserve">10Alytics (Remote) — new remote roles open to Nigeria (23 Oct 2026)</t>
  </si>
  <si>
    <t xml:space="preserve">▸ Remote — country not stated</t>
  </si>
  <si>
    <t xml:space="preserve">Remote (country not stated on posting)</t>
  </si>
  <si>
    <t xml:space="preserve">Brand and Media Associate</t>
  </si>
  <si>
    <t xml:space="preserve">10Alytics (Nigerian-founded)</t>
  </si>
  <si>
    <t xml:space="preserve">Apply on the 10Alytics careers page</t>
  </si>
  <si>
    <t xml:space="preserve">Not shown</t>
  </si>
  <si>
    <t xml:space="preserve">Posting says Remote but doesn't list countries. 10Alytics is Nigerian-founded and hires largely in Nigeria; confirm when applying. No posting date shown.</t>
  </si>
  <si>
    <t xml:space="preserve">Business Analysis Associate</t>
  </si>
  <si>
    <t xml:space="preserve">Content Creator</t>
  </si>
  <si>
    <t xml:space="preserve">Customer Sales Associate</t>
  </si>
  <si>
    <t xml:space="preserve">Customer Support Associate</t>
  </si>
  <si>
    <t xml:space="preserve">Mid (2–3 yrs)</t>
  </si>
  <si>
    <t xml:space="preserve">Data Associate</t>
  </si>
  <si>
    <t xml:space="preserve">DevOps Specialist (contract)</t>
  </si>
  <si>
    <t xml:space="preserve">Digital Marketing Specialist (Affiliate Marketing)</t>
  </si>
  <si>
    <t xml:space="preserve">Employability Associate</t>
  </si>
  <si>
    <t xml:space="preserve">Finance Reporting Associate</t>
  </si>
  <si>
    <t xml:space="preserve">Growth Associate</t>
  </si>
  <si>
    <t xml:space="preserve">Human Resource Associate</t>
  </si>
  <si>
    <t xml:space="preserve">Project Manager</t>
  </si>
  <si>
    <t xml:space="preserve">Senior Data Associate</t>
  </si>
  <si>
    <t xml:space="preserve">Social Media Intern</t>
  </si>
  <si>
    <t xml:space="preserve">Intern</t>
  </si>
  <si>
    <t xml:space="preserve">Social Media Manager</t>
  </si>
  <si>
    <t xml:space="preserve">Technical Data Associate</t>
  </si>
  <si>
    <t xml:space="preserve">micro1 — new roles on your referral link (23 Oct 2026)</t>
  </si>
  <si>
    <t xml:space="preserve">Every "Apply ↗" opens that exact micro1 job with your referral code built in, so applications are credited to you. Remote AI-training / expert contracts; country eligibility is confirmed during micro1 application.</t>
  </si>
  <si>
    <t xml:space="preserve">Field</t>
  </si>
  <si>
    <t xml:space="preserve">Pay (per hour, as listed)</t>
  </si>
  <si>
    <t xml:space="preserve">Openings</t>
  </si>
  <si>
    <t xml:space="preserve">Apply via referral</t>
  </si>
  <si>
    <t xml:space="preserve">▸ Software &amp; Data</t>
  </si>
  <si>
    <t xml:space="preserve">Software &amp; Data</t>
  </si>
  <si>
    <t xml:space="preserve">Data Science &amp; Analytic Methodology SME</t>
  </si>
  <si>
    <t xml:space="preserve">$60–100/hr</t>
  </si>
  <si>
    <t xml:space="preserve">3</t>
  </si>
  <si>
    <t xml:space="preserve">23 Oct</t>
  </si>
  <si>
    <t xml:space="preserve">LLMs, pipeline integration, data analytics</t>
  </si>
  <si>
    <t xml:space="preserve">Cyber Threat Intelligence SME</t>
  </si>
  <si>
    <t xml:space="preserve">$70–110/hr</t>
  </si>
  <si>
    <t xml:space="preserve">Threat-intelligence judgment for AI safety work</t>
  </si>
  <si>
    <t xml:space="preserve">Mathematics Expert (MSc./PhD)</t>
  </si>
  <si>
    <t xml:space="preserve">$60–120/hr</t>
  </si>
  <si>
    <t xml:space="preserve">100</t>
  </si>
  <si>
    <t xml:space="preserve">Maths + Python</t>
  </si>
  <si>
    <t xml:space="preserve">▸ Legal</t>
  </si>
  <si>
    <t xml:space="preserve">Legal</t>
  </si>
  <si>
    <t xml:space="preserve">Lawyer</t>
  </si>
  <si>
    <t xml:space="preserve">$50–80/hr</t>
  </si>
  <si>
    <t xml:space="preserve">10</t>
  </si>
  <si>
    <t xml:space="preserve">Legal research and writing; Bluebook citation and US legal system knowledge</t>
  </si>
  <si>
    <t xml:space="preserve">Junior Lawyer</t>
  </si>
  <si>
    <t xml:space="preserve">Document review against US legal standards; Bluebook</t>
  </si>
  <si>
    <t xml:space="preserve">Law Student</t>
  </si>
  <si>
    <t xml:space="preserve">Legal research/writing; Bluebook, US legal system</t>
  </si>
  <si>
    <t xml:space="preserve">▸ Finance</t>
  </si>
  <si>
    <t xml:space="preserve">Finance</t>
  </si>
  <si>
    <t xml:space="preserve">Senior Insurance Claims Expert (Liability, Property, Contents)</t>
  </si>
  <si>
    <t xml:space="preserve">$20–60/hr</t>
  </si>
  <si>
    <t xml:space="preserve">20</t>
  </si>
  <si>
    <t xml:space="preserve">Auto liability, property damage assessment</t>
  </si>
  <si>
    <t xml:space="preserve">▸ AI Training &amp; Admin</t>
  </si>
  <si>
    <t xml:space="preserve">AI Training &amp; Admin</t>
  </si>
  <si>
    <t xml:space="preserve">Senior Marine Cargo and Draft Surveyor</t>
  </si>
  <si>
    <t xml:space="preserve">Cargo condition and draft surveys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</si>
</sst>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A5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23_Oct_2026.xlsx" TargetMode="External"/><Relationship Id="rId2" Type="http://schemas.openxmlformats.org/officeDocument/2006/relationships/hyperlink" Target="ERJ_Search_Sheet_23_Oct_2026.xlsx" TargetMode="External"/><Relationship Id="rId3" Type="http://schemas.openxmlformats.org/officeDocument/2006/relationships/hyperlink" Target="ERJ_Search_Sheet_23_Oct_2026.xlsx" TargetMode="External"/><Relationship Id="rId4" Type="http://schemas.openxmlformats.org/officeDocument/2006/relationships/hyperlink" Target="ERJ_Search_Sheet_23_Oct_2026.xlsx" TargetMode="External"/><Relationship Id="rId5" Type="http://schemas.openxmlformats.org/officeDocument/2006/relationships/hyperlink" Target="ERJ_Search_Sheet_23_Oct_2026.xlsx" TargetMode="External"/><Relationship Id="rId6" Type="http://schemas.openxmlformats.org/officeDocument/2006/relationships/hyperlink" Target="ERJ_Search_Sheet_23_Oct_2026.xlsx" TargetMode="External"/><Relationship Id="rId7" Type="http://schemas.openxmlformats.org/officeDocument/2006/relationships/hyperlink" Target="ERJ_Search_Sheet_23_Oct_2026.xlsx" TargetMode="External"/><Relationship Id="rId8" Type="http://schemas.openxmlformats.org/officeDocument/2006/relationships/hyperlink" Target="ERJ_Search_Sheet_23_Oct_2026.xlsx" TargetMode="External"/><Relationship Id="rId9" Type="http://schemas.openxmlformats.org/officeDocument/2006/relationships/hyperlink" Target="ERJ_Search_Sheet_23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obs.lever.co/jobgether/838b8d7d-7daa-40df-90cb-1a9feb68755a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c659e2d77a53-cpt-11642-administrative-student-accounts-virtual-assistant" TargetMode="External"/><Relationship Id="rId2" Type="http://schemas.openxmlformats.org/officeDocument/2006/relationships/hyperlink" Target="https://20four7va.breezy.hr/p/6a65dea3efe5-cpt-11579-business-support-virtual-assistant" TargetMode="External"/><Relationship Id="rId3" Type="http://schemas.openxmlformats.org/officeDocument/2006/relationships/hyperlink" Target="https://20four7va.breezy.hr/p/1a1714acc534-cpt-11662-construction-project-administrative-assistant" TargetMode="External"/><Relationship Id="rId4" Type="http://schemas.openxmlformats.org/officeDocument/2006/relationships/hyperlink" Target="https://openhillglobal.com/careers/virtual-assistant" TargetMode="External"/><Relationship Id="rId5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obs.lever.co/vrchat/5f8683d1-c30e-4e47-8bfa-540e96b04020" TargetMode="External"/><Relationship Id="rId2" Type="http://schemas.openxmlformats.org/officeDocument/2006/relationships/hyperlink" Target="https://jobs.lever.co/vrchat/05229da3-4145-402d-b4ae-2d9a1157b796" TargetMode="External"/><Relationship Id="rId3" Type="http://schemas.openxmlformats.org/officeDocument/2006/relationships/hyperlink" Target="https://openhillglobal.com/careers/hr-manager" TargetMode="External"/><Relationship Id="rId4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ed.crossover.com/jobs/education/p-5238/2-hour-learning-ai-driven-learning-analyst" TargetMode="External"/><Relationship Id="rId2" Type="http://schemas.openxmlformats.org/officeDocument/2006/relationships/hyperlink" Target="https://ed.crossover.com/jobs/5595/2-hour-learning/director-of-academics" TargetMode="External"/><Relationship Id="rId3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40bfec1dca22-cpt-11672-social-media-marketing-virtual-assistant" TargetMode="External"/><Relationship Id="rId2" Type="http://schemas.openxmlformats.org/officeDocument/2006/relationships/hyperlink" Target="https://social-discovery-ventures.breezy.hr/p/42580a372e9501-senior-marketing-analyst" TargetMode="External"/><Relationship Id="rId3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obs.lever.co/vrchat/81cee3d5-6a0b-4f88-9f09-357eef400239" TargetMode="External"/><Relationship Id="rId2" Type="http://schemas.openxmlformats.org/officeDocument/2006/relationships/hyperlink" Target="https://jobs.workable.com/view/mXYssdWCGKK9SP8V7SvRa6/remote-senior-illustrator-%26-graphic-artist-(multi-style-digital-art)-in-nigeria-at-gramian-consulting-group" TargetMode="External"/><Relationship Id="rId3" Type="http://schemas.openxmlformats.org/officeDocument/2006/relationships/hyperlink" Target="https://openhillglobal.com/careers/graphic-designer-social-media-manager" TargetMode="External"/><Relationship Id="rId4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044e891ae66d-t-cpt-11654-kajabi-website-development-automation-virtual-assistant" TargetMode="External"/><Relationship Id="rId2" Type="http://schemas.openxmlformats.org/officeDocument/2006/relationships/hyperlink" Target="https://social-discovery-ventures.breezy.hr/p/9f06b471696701-junior-system-administrator-monitoring-team" TargetMode="External"/><Relationship Id="rId3" Type="http://schemas.openxmlformats.org/officeDocument/2006/relationships/hyperlink" Target="https://social-discovery-ventures.breezy.hr/p/8ae64331d11301-product-owner-matchmaking" TargetMode="External"/><Relationship Id="rId4" Type="http://schemas.openxmlformats.org/officeDocument/2006/relationships/hyperlink" Target="https://social-discovery-ventures.breezy.hr/p/205bcfe31b4e01-senior-cv-engineer" TargetMode="External"/><Relationship Id="rId5" Type="http://schemas.openxmlformats.org/officeDocument/2006/relationships/hyperlink" Target="https://jobs.ashbyhq.com/Scale%20Army%20Careers/060455e9-0b32-4392-b9c4-e0092cd266ee" TargetMode="External"/><Relationship Id="rId6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10alytics.io/careers/brand-and-media-associate" TargetMode="External"/><Relationship Id="rId2" Type="http://schemas.openxmlformats.org/officeDocument/2006/relationships/hyperlink" Target="https://www.10alytics.io/careers/business-analysis-specialist" TargetMode="External"/><Relationship Id="rId3" Type="http://schemas.openxmlformats.org/officeDocument/2006/relationships/hyperlink" Target="https://www.10alytics.io/careers/content-creator" TargetMode="External"/><Relationship Id="rId4" Type="http://schemas.openxmlformats.org/officeDocument/2006/relationships/hyperlink" Target="https://www.10alytics.io/careers/customer-sales-associate" TargetMode="External"/><Relationship Id="rId5" Type="http://schemas.openxmlformats.org/officeDocument/2006/relationships/hyperlink" Target="https://www.10alytics.io/careers/customer-support-associate" TargetMode="External"/><Relationship Id="rId6" Type="http://schemas.openxmlformats.org/officeDocument/2006/relationships/hyperlink" Target="https://www.10alytics.io/careers/data-associate" TargetMode="External"/><Relationship Id="rId7" Type="http://schemas.openxmlformats.org/officeDocument/2006/relationships/hyperlink" Target="https://www.10alytics.io/careers/devops-specialist" TargetMode="External"/><Relationship Id="rId8" Type="http://schemas.openxmlformats.org/officeDocument/2006/relationships/hyperlink" Target="https://www.10alytics.io/careers/affiliate-marketing-manager" TargetMode="External"/><Relationship Id="rId9" Type="http://schemas.openxmlformats.org/officeDocument/2006/relationships/hyperlink" Target="https://www.10alytics.io/careers/employability-associate" TargetMode="External"/><Relationship Id="rId10" Type="http://schemas.openxmlformats.org/officeDocument/2006/relationships/hyperlink" Target="https://www.10alytics.io/careers/finance-reporting-associate" TargetMode="External"/><Relationship Id="rId11" Type="http://schemas.openxmlformats.org/officeDocument/2006/relationships/hyperlink" Target="https://www.10alytics.io/careers/growth-associates" TargetMode="External"/><Relationship Id="rId12" Type="http://schemas.openxmlformats.org/officeDocument/2006/relationships/hyperlink" Target="https://www.10alytics.io/careers/human-resource-associate" TargetMode="External"/><Relationship Id="rId13" Type="http://schemas.openxmlformats.org/officeDocument/2006/relationships/hyperlink" Target="https://www.10alytics.io/careers/project-manager" TargetMode="External"/><Relationship Id="rId14" Type="http://schemas.openxmlformats.org/officeDocument/2006/relationships/hyperlink" Target="https://www.10alytics.io/careers/senior-data-associate" TargetMode="External"/><Relationship Id="rId15" Type="http://schemas.openxmlformats.org/officeDocument/2006/relationships/hyperlink" Target="https://www.10alytics.io/careers/social-media-intern-2" TargetMode="External"/><Relationship Id="rId16" Type="http://schemas.openxmlformats.org/officeDocument/2006/relationships/hyperlink" Target="https://www.10alytics.io/careers/social-media-manager" TargetMode="External"/><Relationship Id="rId17" Type="http://schemas.openxmlformats.org/officeDocument/2006/relationships/hyperlink" Target="https://www.10alytics.io/careers/technical-data-associate" TargetMode="External"/><Relationship Id="rId18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jobs.micro1.ai/post/0db2a044-3c6c-47e9-b610-292eddd305d2?referralCode=d3605f74-92f0-4f1c-b8e2-4ab757bffc26" TargetMode="External"/><Relationship Id="rId2" Type="http://schemas.openxmlformats.org/officeDocument/2006/relationships/hyperlink" Target="https://jobs.micro1.ai/post/f3f5d9b3-7524-4b58-8503-347eafca3b25?referralCode=d3605f74-92f0-4f1c-b8e2-4ab757bffc26" TargetMode="External"/><Relationship Id="rId3" Type="http://schemas.openxmlformats.org/officeDocument/2006/relationships/hyperlink" Target="https://jobs.micro1.ai/post/9701abf9-febd-4f13-9183-80257478f22a?referralCode=d3605f74-92f0-4f1c-b8e2-4ab757bffc26" TargetMode="External"/><Relationship Id="rId4" Type="http://schemas.openxmlformats.org/officeDocument/2006/relationships/hyperlink" Target="https://jobs.micro1.ai/post/1031bd16-b859-454b-a97c-a3b8ce1c606c?referralCode=d3605f74-92f0-4f1c-b8e2-4ab757bffc26" TargetMode="External"/><Relationship Id="rId5" Type="http://schemas.openxmlformats.org/officeDocument/2006/relationships/hyperlink" Target="https://jobs.micro1.ai/post/0e78e401-56d5-423c-8b26-bcf85bab25ff?referralCode=d3605f74-92f0-4f1c-b8e2-4ab757bffc26" TargetMode="External"/><Relationship Id="rId6" Type="http://schemas.openxmlformats.org/officeDocument/2006/relationships/hyperlink" Target="https://jobs.micro1.ai/post/dc2ca458-5a54-4d0a-971b-3e9aff15a123?referralCode=d3605f74-92f0-4f1c-b8e2-4ab757bffc26" TargetMode="External"/><Relationship Id="rId7" Type="http://schemas.openxmlformats.org/officeDocument/2006/relationships/hyperlink" Target="https://jobs.micro1.ai/post/fd986cf9-2c5e-4945-ba63-da6b5b9e06d4?referralCode=d3605f74-92f0-4f1c-b8e2-4ab757bffc26" TargetMode="External"/><Relationship Id="rId8" Type="http://schemas.openxmlformats.org/officeDocument/2006/relationships/hyperlink" Target="https://jobs.micro1.ai/post/dc341efb-fab5-4d87-8916-e0f6fdb283fa?referralCode=d3605f74-92f0-4f1c-b8e2-4ab757bffc26" TargetMode="External"/><Relationship Id="rId9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COUNTIF('Customer Support'!$E$5:$E$6,"Open*")</f>
        <v>1</v>
      </c>
      <c r="C5" s="6" t="n">
        <f aca="false">COUNTIF('Customer Support'!$E$5:$E$6,"Check*")</f>
        <v>0</v>
      </c>
      <c r="D5" s="6" t="n">
        <f aca="false">B5+C5</f>
        <v>1</v>
      </c>
    </row>
    <row r="6" customFormat="false" ht="15" hidden="false" customHeight="true" outlineLevel="0" collapsed="false">
      <c r="A6" s="5" t="s">
        <v>7</v>
      </c>
      <c r="B6" s="6" t="n">
        <f aca="false">COUNTIF('VA &amp; Admin'!$E$5:$E$10,"Open*")</f>
        <v>4</v>
      </c>
      <c r="C6" s="6" t="n">
        <f aca="false">COUNTIF('VA &amp; Admin'!$E$5:$E$10,"Check*")</f>
        <v>0</v>
      </c>
      <c r="D6" s="6" t="n">
        <f aca="false">B6+C6</f>
        <v>4</v>
      </c>
    </row>
    <row r="7" customFormat="false" ht="15" hidden="false" customHeight="true" outlineLevel="0" collapsed="false">
      <c r="A7" s="5" t="s">
        <v>8</v>
      </c>
      <c r="B7" s="6" t="n">
        <f aca="false">COUNTIF('HR &amp; Legal'!$E$5:$E$9,"Open*")</f>
        <v>3</v>
      </c>
      <c r="C7" s="6" t="n">
        <f aca="false">COUNTIF('HR &amp; Legal'!$E$5:$E$9,"Check*")</f>
        <v>0</v>
      </c>
      <c r="D7" s="6" t="n">
        <f aca="false">B7+C7</f>
        <v>3</v>
      </c>
    </row>
    <row r="8" customFormat="false" ht="15" hidden="false" customHeight="true" outlineLevel="0" collapsed="false">
      <c r="A8" s="5" t="s">
        <v>9</v>
      </c>
      <c r="B8" s="6" t="n">
        <f aca="false">COUNTIF('Languages &amp; Teaching'!$E$5:$E$7,"Open*")</f>
        <v>2</v>
      </c>
      <c r="C8" s="6" t="n">
        <f aca="false">COUNTIF('Languages &amp; Teaching'!$E$5:$E$7,"Check*")</f>
        <v>0</v>
      </c>
      <c r="D8" s="6" t="n">
        <f aca="false">B8+C8</f>
        <v>2</v>
      </c>
    </row>
    <row r="9" customFormat="false" ht="15" hidden="false" customHeight="true" outlineLevel="0" collapsed="false">
      <c r="A9" s="5" t="s">
        <v>10</v>
      </c>
      <c r="B9" s="6" t="n">
        <f aca="false">COUNTIF('Sales &amp; Marketing'!$E$5:$E$7,"Open*")</f>
        <v>2</v>
      </c>
      <c r="C9" s="6" t="n">
        <f aca="false">COUNTIF('Sales &amp; Marketing'!$E$5:$E$7,"Check*")</f>
        <v>0</v>
      </c>
      <c r="D9" s="6" t="n">
        <f aca="false">B9+C9</f>
        <v>2</v>
      </c>
    </row>
    <row r="10" customFormat="false" ht="15" hidden="false" customHeight="true" outlineLevel="0" collapsed="false">
      <c r="A10" s="5" t="s">
        <v>11</v>
      </c>
      <c r="B10" s="6" t="n">
        <f aca="false">COUNTIF('Creative &amp; Content'!$E$5:$E$10,"Open*")</f>
        <v>3</v>
      </c>
      <c r="C10" s="6" t="n">
        <f aca="false">COUNTIF('Creative &amp; Content'!$E$5:$E$10,"Check*")</f>
        <v>0</v>
      </c>
      <c r="D10" s="6" t="n">
        <f aca="false">B10+C10</f>
        <v>3</v>
      </c>
    </row>
    <row r="11" customFormat="false" ht="15" hidden="false" customHeight="true" outlineLevel="0" collapsed="false">
      <c r="A11" s="5" t="s">
        <v>12</v>
      </c>
      <c r="B11" s="6" t="n">
        <f aca="false">COUNTIF('Tech &amp; Operations'!$E$5:$E$11,"Open*")</f>
        <v>5</v>
      </c>
      <c r="C11" s="6" t="n">
        <f aca="false">COUNTIF('Tech &amp; Operations'!$E$5:$E$11,"Check*")</f>
        <v>0</v>
      </c>
      <c r="D11" s="6" t="n">
        <f aca="false">B11+C11</f>
        <v>5</v>
      </c>
    </row>
    <row r="12" customFormat="false" ht="15" hidden="false" customHeight="true" outlineLevel="0" collapsed="false">
      <c r="A12" s="5" t="s">
        <v>13</v>
      </c>
      <c r="B12" s="6" t="n">
        <f aca="false">COUNTIF('10Alytics (Remote)'!$E$5:$E$22,"Open*")</f>
        <v>0</v>
      </c>
      <c r="C12" s="6" t="n">
        <f aca="false">COUNTIF('10Alytics (Remote)'!$E$5:$E$22,"Check*")</f>
        <v>17</v>
      </c>
      <c r="D12" s="6" t="n">
        <f aca="false">B12+C12</f>
        <v>17</v>
      </c>
    </row>
    <row r="13" customFormat="false" ht="15" hidden="false" customHeight="true" outlineLevel="0" collapsed="false">
      <c r="A13" s="5" t="s">
        <v>14</v>
      </c>
      <c r="B13" s="6" t="n">
        <f aca="false">COUNTA('micro1 Referral'!$C$5:$C$16)</f>
        <v>8</v>
      </c>
      <c r="C13" s="6" t="n">
        <v>0</v>
      </c>
      <c r="D13" s="6" t="n">
        <f aca="false">B13+C13</f>
        <v>8</v>
      </c>
    </row>
    <row r="14" customFormat="false" ht="15" hidden="false" customHeight="true" outlineLevel="0" collapsed="false">
      <c r="A14" s="7" t="s">
        <v>5</v>
      </c>
      <c r="B14" s="8" t="n">
        <f aca="false">SUM(B5:B13)</f>
        <v>28</v>
      </c>
      <c r="C14" s="8" t="n">
        <f aca="false">SUM(C5:C13)</f>
        <v>17</v>
      </c>
      <c r="D14" s="8" t="n">
        <f aca="false">SUM(D5:D13)</f>
        <v>45</v>
      </c>
    </row>
    <row r="16" customFormat="false" ht="15" hidden="false" customHeight="true" outlineLevel="0" collapsed="false">
      <c r="A16" s="9" t="s">
        <v>15</v>
      </c>
    </row>
    <row r="17" customFormat="false" ht="60" hidden="false" customHeight="true" outlineLevel="0" collapsed="false">
      <c r="A17" s="10" t="s">
        <v>16</v>
      </c>
      <c r="B17" s="10"/>
      <c r="C17" s="10"/>
      <c r="D17" s="10"/>
    </row>
    <row r="18" customFormat="false" ht="60" hidden="false" customHeight="true" outlineLevel="0" collapsed="false">
      <c r="A18" s="10" t="s">
        <v>17</v>
      </c>
      <c r="B18" s="10"/>
      <c r="C18" s="10"/>
      <c r="D18" s="10"/>
    </row>
    <row r="19" customFormat="false" ht="60" hidden="false" customHeight="true" outlineLevel="0" collapsed="false">
      <c r="A19" s="10" t="s">
        <v>18</v>
      </c>
      <c r="B19" s="10"/>
      <c r="C19" s="10"/>
      <c r="D19" s="10"/>
    </row>
    <row r="20" customFormat="false" ht="60" hidden="false" customHeight="true" outlineLevel="0" collapsed="false">
      <c r="A20" s="10" t="s">
        <v>19</v>
      </c>
      <c r="B20" s="10"/>
      <c r="C20" s="10"/>
      <c r="D20" s="10"/>
    </row>
    <row r="21" customFormat="false" ht="60" hidden="false" customHeight="true" outlineLevel="0" collapsed="false">
      <c r="A21" s="10" t="s">
        <v>20</v>
      </c>
      <c r="B21" s="10"/>
      <c r="C21" s="10"/>
      <c r="D21" s="10"/>
    </row>
  </sheetData>
  <mergeCells count="5">
    <mergeCell ref="A17:D17"/>
    <mergeCell ref="A18:D18"/>
    <mergeCell ref="A19:D19"/>
    <mergeCell ref="A20:D20"/>
    <mergeCell ref="A21:D21"/>
  </mergeCells>
  <hyperlinks>
    <hyperlink ref="A5" r:id="rId1" location="'Customer%20Support'!A1" display="Customer Support"/>
    <hyperlink ref="A6" r:id="rId2" location="'VA%20&amp;%20Admin'!A1" display="VA &amp; Admin"/>
    <hyperlink ref="A7" r:id="rId3" location="'HR%20&amp;%20Legal'!A1" display="HR &amp; Legal"/>
    <hyperlink ref="A8" r:id="rId4" location="'Languages%20&amp;%20Teaching'!A1" display="Languages &amp; Teaching"/>
    <hyperlink ref="A9" r:id="rId5" location="'Sales%20&amp;%20Marketing'!A1" display="Sales &amp; Marketing"/>
    <hyperlink ref="A10" r:id="rId6" location="'Creative%20&amp;%20Content'!A1" display="Creative &amp; Content"/>
    <hyperlink ref="A11" r:id="rId7" location="'Tech%20&amp;%20Operations'!A1" display="Tech &amp; Operations"/>
    <hyperlink ref="A12" r:id="rId8" location="'10Alytics%20(Remote)'!A1" display="10Alytics (Remote)"/>
    <hyperlink ref="A13" r:id="rId9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21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23.25" hidden="false" customHeight="true" outlineLevel="0" collapsed="false">
      <c r="A6" s="15" t="n">
        <v>1</v>
      </c>
      <c r="B6" s="16" t="s">
        <v>36</v>
      </c>
      <c r="C6" s="16" t="s">
        <v>37</v>
      </c>
      <c r="D6" s="15" t="s">
        <v>38</v>
      </c>
      <c r="E6" s="15" t="s">
        <v>3</v>
      </c>
      <c r="F6" s="15" t="s">
        <v>39</v>
      </c>
      <c r="G6" s="16" t="s">
        <v>40</v>
      </c>
      <c r="H6" s="16" t="s">
        <v>41</v>
      </c>
      <c r="I6" s="15" t="s">
        <v>42</v>
      </c>
      <c r="J6" s="15" t="s">
        <v>43</v>
      </c>
      <c r="K6" s="17" t="s">
        <v>44</v>
      </c>
      <c r="L6" s="16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45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46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34.5" hidden="false" customHeight="true" outlineLevel="0" collapsed="false">
      <c r="A6" s="15" t="n">
        <v>1</v>
      </c>
      <c r="B6" s="16" t="s">
        <v>47</v>
      </c>
      <c r="C6" s="16" t="s">
        <v>48</v>
      </c>
      <c r="D6" s="15" t="s">
        <v>49</v>
      </c>
      <c r="E6" s="15" t="s">
        <v>3</v>
      </c>
      <c r="F6" s="15" t="s">
        <v>50</v>
      </c>
      <c r="G6" s="16" t="s">
        <v>51</v>
      </c>
      <c r="H6" s="16" t="s">
        <v>52</v>
      </c>
      <c r="I6" s="15" t="s">
        <v>53</v>
      </c>
      <c r="J6" s="15" t="s">
        <v>43</v>
      </c>
      <c r="K6" s="17" t="s">
        <v>44</v>
      </c>
      <c r="L6" s="16" t="s">
        <v>54</v>
      </c>
    </row>
    <row r="7" customFormat="false" ht="34.5" hidden="false" customHeight="true" outlineLevel="0" collapsed="false">
      <c r="A7" s="15" t="n">
        <v>2</v>
      </c>
      <c r="B7" s="16" t="s">
        <v>47</v>
      </c>
      <c r="C7" s="16" t="s">
        <v>55</v>
      </c>
      <c r="D7" s="15" t="s">
        <v>49</v>
      </c>
      <c r="E7" s="15" t="s">
        <v>3</v>
      </c>
      <c r="F7" s="15" t="s">
        <v>50</v>
      </c>
      <c r="G7" s="16" t="s">
        <v>51</v>
      </c>
      <c r="H7" s="16" t="s">
        <v>56</v>
      </c>
      <c r="I7" s="15" t="s">
        <v>53</v>
      </c>
      <c r="J7" s="15" t="s">
        <v>57</v>
      </c>
      <c r="K7" s="17" t="s">
        <v>44</v>
      </c>
      <c r="L7" s="16" t="s">
        <v>58</v>
      </c>
    </row>
    <row r="8" customFormat="false" ht="45.75" hidden="false" customHeight="true" outlineLevel="0" collapsed="false">
      <c r="A8" s="15" t="n">
        <v>3</v>
      </c>
      <c r="B8" s="16" t="s">
        <v>47</v>
      </c>
      <c r="C8" s="16" t="s">
        <v>59</v>
      </c>
      <c r="D8" s="15" t="s">
        <v>49</v>
      </c>
      <c r="E8" s="15" t="s">
        <v>3</v>
      </c>
      <c r="F8" s="15" t="s">
        <v>60</v>
      </c>
      <c r="G8" s="16" t="s">
        <v>51</v>
      </c>
      <c r="H8" s="16" t="s">
        <v>61</v>
      </c>
      <c r="I8" s="15" t="s">
        <v>53</v>
      </c>
      <c r="J8" s="15" t="s">
        <v>62</v>
      </c>
      <c r="K8" s="17" t="s">
        <v>44</v>
      </c>
      <c r="L8" s="16" t="s">
        <v>63</v>
      </c>
    </row>
    <row r="9" customFormat="false" ht="15" hidden="false" customHeight="true" outlineLevel="0" collapsed="false">
      <c r="A9" s="13" t="s">
        <v>35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23.25" hidden="false" customHeight="true" outlineLevel="0" collapsed="false">
      <c r="A10" s="15" t="n">
        <v>4</v>
      </c>
      <c r="B10" s="16" t="s">
        <v>64</v>
      </c>
      <c r="C10" s="16" t="s">
        <v>65</v>
      </c>
      <c r="D10" s="15" t="s">
        <v>66</v>
      </c>
      <c r="E10" s="15" t="s">
        <v>3</v>
      </c>
      <c r="F10" s="15" t="s">
        <v>67</v>
      </c>
      <c r="G10" s="16" t="s">
        <v>68</v>
      </c>
      <c r="H10" s="16" t="s">
        <v>69</v>
      </c>
      <c r="I10" s="15" t="s">
        <v>70</v>
      </c>
      <c r="J10" s="15" t="s">
        <v>71</v>
      </c>
      <c r="K10" s="17" t="s">
        <v>44</v>
      </c>
      <c r="L10" s="16"/>
    </row>
  </sheetData>
  <autoFilter ref="A4:L10"/>
  <conditionalFormatting sqref="E5:E10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10" r:id="rId4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72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46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45.75" hidden="false" customHeight="true" outlineLevel="0" collapsed="false">
      <c r="A6" s="15" t="n">
        <v>1</v>
      </c>
      <c r="B6" s="16" t="s">
        <v>73</v>
      </c>
      <c r="C6" s="16" t="s">
        <v>74</v>
      </c>
      <c r="D6" s="15" t="s">
        <v>75</v>
      </c>
      <c r="E6" s="15" t="s">
        <v>3</v>
      </c>
      <c r="F6" s="15" t="s">
        <v>76</v>
      </c>
      <c r="G6" s="16" t="s">
        <v>77</v>
      </c>
      <c r="H6" s="16" t="s">
        <v>78</v>
      </c>
      <c r="I6" s="15" t="s">
        <v>42</v>
      </c>
      <c r="J6" s="15" t="s">
        <v>79</v>
      </c>
      <c r="K6" s="17" t="s">
        <v>44</v>
      </c>
      <c r="L6" s="16" t="s">
        <v>80</v>
      </c>
    </row>
    <row r="7" customFormat="false" ht="45.75" hidden="false" customHeight="true" outlineLevel="0" collapsed="false">
      <c r="A7" s="15" t="n">
        <v>2</v>
      </c>
      <c r="B7" s="16" t="s">
        <v>73</v>
      </c>
      <c r="C7" s="16" t="s">
        <v>81</v>
      </c>
      <c r="D7" s="15" t="s">
        <v>75</v>
      </c>
      <c r="E7" s="15" t="s">
        <v>3</v>
      </c>
      <c r="F7" s="15" t="s">
        <v>82</v>
      </c>
      <c r="G7" s="16" t="s">
        <v>83</v>
      </c>
      <c r="H7" s="16" t="s">
        <v>84</v>
      </c>
      <c r="I7" s="15" t="s">
        <v>42</v>
      </c>
      <c r="J7" s="15" t="s">
        <v>79</v>
      </c>
      <c r="K7" s="17" t="s">
        <v>44</v>
      </c>
      <c r="L7" s="16" t="s">
        <v>80</v>
      </c>
    </row>
    <row r="8" customFormat="false" ht="15" hidden="false" customHeight="true" outlineLevel="0" collapsed="false">
      <c r="A8" s="13" t="s">
        <v>35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true" outlineLevel="0" collapsed="false">
      <c r="A9" s="15" t="n">
        <v>3</v>
      </c>
      <c r="B9" s="16" t="s">
        <v>64</v>
      </c>
      <c r="C9" s="16" t="s">
        <v>85</v>
      </c>
      <c r="D9" s="15" t="s">
        <v>66</v>
      </c>
      <c r="E9" s="15" t="s">
        <v>3</v>
      </c>
      <c r="F9" s="15" t="s">
        <v>67</v>
      </c>
      <c r="G9" s="16" t="s">
        <v>68</v>
      </c>
      <c r="H9" s="16" t="s">
        <v>86</v>
      </c>
      <c r="I9" s="15" t="s">
        <v>70</v>
      </c>
      <c r="J9" s="15" t="s">
        <v>71</v>
      </c>
      <c r="K9" s="17" t="s">
        <v>44</v>
      </c>
      <c r="L9" s="16"/>
    </row>
  </sheetData>
  <autoFilter ref="A4:L9"/>
  <conditionalFormatting sqref="E5:E9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9" r:id="rId3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87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46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23.25" hidden="false" customHeight="true" outlineLevel="0" collapsed="false">
      <c r="A6" s="15" t="n">
        <v>1</v>
      </c>
      <c r="B6" s="16" t="s">
        <v>88</v>
      </c>
      <c r="C6" s="16" t="s">
        <v>89</v>
      </c>
      <c r="D6" s="15" t="s">
        <v>90</v>
      </c>
      <c r="E6" s="15" t="s">
        <v>3</v>
      </c>
      <c r="F6" s="15" t="s">
        <v>67</v>
      </c>
      <c r="G6" s="16" t="s">
        <v>91</v>
      </c>
      <c r="H6" s="16" t="s">
        <v>92</v>
      </c>
      <c r="I6" s="15" t="s">
        <v>70</v>
      </c>
      <c r="J6" s="15" t="s">
        <v>71</v>
      </c>
      <c r="K6" s="17" t="s">
        <v>44</v>
      </c>
      <c r="L6" s="16"/>
    </row>
    <row r="7" customFormat="false" ht="23.25" hidden="false" customHeight="true" outlineLevel="0" collapsed="false">
      <c r="A7" s="15" t="n">
        <v>2</v>
      </c>
      <c r="B7" s="16" t="s">
        <v>93</v>
      </c>
      <c r="C7" s="16" t="s">
        <v>94</v>
      </c>
      <c r="D7" s="15" t="s">
        <v>90</v>
      </c>
      <c r="E7" s="15" t="s">
        <v>3</v>
      </c>
      <c r="F7" s="15" t="s">
        <v>95</v>
      </c>
      <c r="G7" s="16" t="s">
        <v>96</v>
      </c>
      <c r="H7" s="16" t="s">
        <v>97</v>
      </c>
      <c r="I7" s="15" t="s">
        <v>70</v>
      </c>
      <c r="J7" s="15" t="s">
        <v>71</v>
      </c>
      <c r="K7" s="17" t="s">
        <v>44</v>
      </c>
      <c r="L7" s="16"/>
    </row>
  </sheetData>
  <autoFilter ref="A4:L7"/>
  <conditionalFormatting sqref="E5:E7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98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46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45.75" hidden="false" customHeight="true" outlineLevel="0" collapsed="false">
      <c r="A6" s="15" t="n">
        <v>1</v>
      </c>
      <c r="B6" s="16" t="s">
        <v>47</v>
      </c>
      <c r="C6" s="16" t="s">
        <v>99</v>
      </c>
      <c r="D6" s="15" t="s">
        <v>49</v>
      </c>
      <c r="E6" s="15" t="s">
        <v>3</v>
      </c>
      <c r="F6" s="15" t="s">
        <v>50</v>
      </c>
      <c r="G6" s="16" t="s">
        <v>51</v>
      </c>
      <c r="H6" s="16" t="s">
        <v>100</v>
      </c>
      <c r="I6" s="15" t="s">
        <v>53</v>
      </c>
      <c r="J6" s="15" t="s">
        <v>57</v>
      </c>
      <c r="K6" s="17" t="s">
        <v>44</v>
      </c>
      <c r="L6" s="16" t="s">
        <v>101</v>
      </c>
    </row>
    <row r="7" customFormat="false" ht="34.5" hidden="false" customHeight="true" outlineLevel="0" collapsed="false">
      <c r="A7" s="15" t="n">
        <v>2</v>
      </c>
      <c r="B7" s="16" t="s">
        <v>102</v>
      </c>
      <c r="C7" s="16" t="s">
        <v>103</v>
      </c>
      <c r="D7" s="15" t="s">
        <v>104</v>
      </c>
      <c r="E7" s="15" t="s">
        <v>3</v>
      </c>
      <c r="F7" s="15" t="s">
        <v>105</v>
      </c>
      <c r="G7" s="16" t="s">
        <v>106</v>
      </c>
      <c r="H7" s="16" t="s">
        <v>107</v>
      </c>
      <c r="I7" s="15" t="s">
        <v>53</v>
      </c>
      <c r="J7" s="15" t="s">
        <v>43</v>
      </c>
      <c r="K7" s="17" t="s">
        <v>44</v>
      </c>
      <c r="L7" s="16" t="s">
        <v>108</v>
      </c>
    </row>
  </sheetData>
  <autoFilter ref="A4:L7"/>
  <conditionalFormatting sqref="E5:E7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109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46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45.75" hidden="false" customHeight="true" outlineLevel="0" collapsed="false">
      <c r="A6" s="15" t="n">
        <v>1</v>
      </c>
      <c r="B6" s="16" t="s">
        <v>110</v>
      </c>
      <c r="C6" s="16" t="s">
        <v>111</v>
      </c>
      <c r="D6" s="15" t="s">
        <v>75</v>
      </c>
      <c r="E6" s="15" t="s">
        <v>3</v>
      </c>
      <c r="F6" s="15" t="s">
        <v>112</v>
      </c>
      <c r="G6" s="16" t="s">
        <v>113</v>
      </c>
      <c r="H6" s="16" t="s">
        <v>114</v>
      </c>
      <c r="I6" s="15" t="s">
        <v>42</v>
      </c>
      <c r="J6" s="15" t="s">
        <v>43</v>
      </c>
      <c r="K6" s="17" t="s">
        <v>44</v>
      </c>
      <c r="L6" s="16" t="s">
        <v>115</v>
      </c>
    </row>
    <row r="7" customFormat="false" ht="15" hidden="false" customHeight="true" outlineLevel="0" collapsed="false">
      <c r="A7" s="13" t="s">
        <v>116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45.75" hidden="false" customHeight="true" outlineLevel="0" collapsed="false">
      <c r="A8" s="15" t="n">
        <v>2</v>
      </c>
      <c r="B8" s="16" t="s">
        <v>117</v>
      </c>
      <c r="C8" s="16" t="s">
        <v>118</v>
      </c>
      <c r="D8" s="15" t="s">
        <v>119</v>
      </c>
      <c r="E8" s="15" t="s">
        <v>3</v>
      </c>
      <c r="F8" s="15" t="s">
        <v>120</v>
      </c>
      <c r="G8" s="16" t="s">
        <v>121</v>
      </c>
      <c r="H8" s="16" t="s">
        <v>122</v>
      </c>
      <c r="I8" s="15" t="s">
        <v>123</v>
      </c>
      <c r="J8" s="15" t="s">
        <v>57</v>
      </c>
      <c r="K8" s="17" t="s">
        <v>44</v>
      </c>
      <c r="L8" s="16" t="s">
        <v>124</v>
      </c>
    </row>
    <row r="9" customFormat="false" ht="15" hidden="false" customHeight="true" outlineLevel="0" collapsed="false">
      <c r="A9" s="13" t="s">
        <v>35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23.25" hidden="false" customHeight="true" outlineLevel="0" collapsed="false">
      <c r="A10" s="15" t="n">
        <v>3</v>
      </c>
      <c r="B10" s="16" t="s">
        <v>64</v>
      </c>
      <c r="C10" s="16" t="s">
        <v>125</v>
      </c>
      <c r="D10" s="15" t="s">
        <v>66</v>
      </c>
      <c r="E10" s="15" t="s">
        <v>3</v>
      </c>
      <c r="F10" s="15" t="s">
        <v>67</v>
      </c>
      <c r="G10" s="16" t="s">
        <v>68</v>
      </c>
      <c r="H10" s="16" t="s">
        <v>126</v>
      </c>
      <c r="I10" s="15" t="s">
        <v>70</v>
      </c>
      <c r="J10" s="15" t="s">
        <v>71</v>
      </c>
      <c r="K10" s="17" t="s">
        <v>44</v>
      </c>
      <c r="L10" s="16"/>
    </row>
  </sheetData>
  <autoFilter ref="A4:L10"/>
  <conditionalFormatting sqref="E5:E10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8" r:id="rId2" display="Apply ↗"/>
    <hyperlink ref="K10" r:id="rId3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127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46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34.5" hidden="false" customHeight="true" outlineLevel="0" collapsed="false">
      <c r="A6" s="15" t="n">
        <v>1</v>
      </c>
      <c r="B6" s="16" t="s">
        <v>47</v>
      </c>
      <c r="C6" s="16" t="s">
        <v>128</v>
      </c>
      <c r="D6" s="15" t="s">
        <v>49</v>
      </c>
      <c r="E6" s="15" t="s">
        <v>3</v>
      </c>
      <c r="F6" s="15" t="s">
        <v>60</v>
      </c>
      <c r="G6" s="16" t="s">
        <v>51</v>
      </c>
      <c r="H6" s="16" t="s">
        <v>129</v>
      </c>
      <c r="I6" s="15" t="s">
        <v>53</v>
      </c>
      <c r="J6" s="15" t="s">
        <v>57</v>
      </c>
      <c r="K6" s="17" t="s">
        <v>44</v>
      </c>
      <c r="L6" s="16" t="s">
        <v>130</v>
      </c>
    </row>
    <row r="7" customFormat="false" ht="45.75" hidden="false" customHeight="true" outlineLevel="0" collapsed="false">
      <c r="A7" s="15" t="n">
        <v>2</v>
      </c>
      <c r="B7" s="16" t="s">
        <v>131</v>
      </c>
      <c r="C7" s="16" t="s">
        <v>132</v>
      </c>
      <c r="D7" s="15" t="s">
        <v>104</v>
      </c>
      <c r="E7" s="15" t="s">
        <v>3</v>
      </c>
      <c r="F7" s="15" t="s">
        <v>133</v>
      </c>
      <c r="G7" s="16" t="s">
        <v>134</v>
      </c>
      <c r="H7" s="16" t="s">
        <v>135</v>
      </c>
      <c r="I7" s="15" t="s">
        <v>53</v>
      </c>
      <c r="J7" s="15" t="s">
        <v>57</v>
      </c>
      <c r="K7" s="17" t="s">
        <v>44</v>
      </c>
      <c r="L7" s="16" t="s">
        <v>136</v>
      </c>
    </row>
    <row r="8" customFormat="false" ht="45.75" hidden="false" customHeight="true" outlineLevel="0" collapsed="false">
      <c r="A8" s="15" t="n">
        <v>3</v>
      </c>
      <c r="B8" s="16" t="s">
        <v>137</v>
      </c>
      <c r="C8" s="16" t="s">
        <v>138</v>
      </c>
      <c r="D8" s="15" t="s">
        <v>104</v>
      </c>
      <c r="E8" s="15" t="s">
        <v>3</v>
      </c>
      <c r="F8" s="15" t="s">
        <v>139</v>
      </c>
      <c r="G8" s="16" t="s">
        <v>106</v>
      </c>
      <c r="H8" s="16" t="s">
        <v>140</v>
      </c>
      <c r="I8" s="15" t="s">
        <v>53</v>
      </c>
      <c r="J8" s="15" t="s">
        <v>43</v>
      </c>
      <c r="K8" s="17" t="s">
        <v>44</v>
      </c>
      <c r="L8" s="16" t="s">
        <v>141</v>
      </c>
    </row>
    <row r="9" customFormat="false" ht="34.5" hidden="false" customHeight="true" outlineLevel="0" collapsed="false">
      <c r="A9" s="15" t="n">
        <v>4</v>
      </c>
      <c r="B9" s="16" t="s">
        <v>142</v>
      </c>
      <c r="C9" s="16" t="s">
        <v>143</v>
      </c>
      <c r="D9" s="15" t="s">
        <v>104</v>
      </c>
      <c r="E9" s="15" t="s">
        <v>3</v>
      </c>
      <c r="F9" s="15" t="s">
        <v>144</v>
      </c>
      <c r="G9" s="16" t="s">
        <v>106</v>
      </c>
      <c r="H9" s="16" t="s">
        <v>145</v>
      </c>
      <c r="I9" s="15" t="s">
        <v>53</v>
      </c>
      <c r="J9" s="15" t="s">
        <v>57</v>
      </c>
      <c r="K9" s="17" t="s">
        <v>44</v>
      </c>
      <c r="L9" s="16"/>
    </row>
    <row r="10" customFormat="false" ht="15" hidden="false" customHeight="true" outlineLevel="0" collapsed="false">
      <c r="A10" s="13" t="s">
        <v>116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45.75" hidden="false" customHeight="true" outlineLevel="0" collapsed="false">
      <c r="A11" s="15" t="n">
        <v>5</v>
      </c>
      <c r="B11" s="16" t="s">
        <v>146</v>
      </c>
      <c r="C11" s="16" t="s">
        <v>147</v>
      </c>
      <c r="D11" s="15" t="s">
        <v>148</v>
      </c>
      <c r="E11" s="15" t="s">
        <v>3</v>
      </c>
      <c r="F11" s="15" t="s">
        <v>149</v>
      </c>
      <c r="G11" s="16" t="s">
        <v>150</v>
      </c>
      <c r="H11" s="16" t="s">
        <v>151</v>
      </c>
      <c r="I11" s="15" t="s">
        <v>152</v>
      </c>
      <c r="J11" s="15" t="s">
        <v>79</v>
      </c>
      <c r="K11" s="17" t="s">
        <v>44</v>
      </c>
      <c r="L11" s="16" t="s">
        <v>153</v>
      </c>
    </row>
  </sheetData>
  <autoFilter ref="A4:L11"/>
  <conditionalFormatting sqref="E5:E11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1" r:id="rId5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5" min="4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44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11" t="s">
        <v>154</v>
      </c>
    </row>
    <row r="2" customFormat="false" ht="15" hidden="false" customHeight="true" outlineLevel="0" collapsed="false">
      <c r="A2" s="12" t="s">
        <v>22</v>
      </c>
    </row>
    <row r="4" customFormat="false" ht="25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true" outlineLevel="0" collapsed="false">
      <c r="A5" s="13" t="s">
        <v>155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45.75" hidden="false" customHeight="true" outlineLevel="0" collapsed="false">
      <c r="A6" s="15" t="n">
        <v>1</v>
      </c>
      <c r="B6" s="16" t="s">
        <v>156</v>
      </c>
      <c r="C6" s="16" t="s">
        <v>157</v>
      </c>
      <c r="D6" s="15" t="s">
        <v>158</v>
      </c>
      <c r="E6" s="15" t="s">
        <v>4</v>
      </c>
      <c r="F6" s="15" t="s">
        <v>67</v>
      </c>
      <c r="G6" s="16" t="s">
        <v>68</v>
      </c>
      <c r="H6" s="16" t="s">
        <v>159</v>
      </c>
      <c r="I6" s="15" t="s">
        <v>70</v>
      </c>
      <c r="J6" s="15" t="s">
        <v>160</v>
      </c>
      <c r="K6" s="17" t="s">
        <v>44</v>
      </c>
      <c r="L6" s="16" t="s">
        <v>161</v>
      </c>
    </row>
    <row r="7" customFormat="false" ht="45.75" hidden="false" customHeight="true" outlineLevel="0" collapsed="false">
      <c r="A7" s="15" t="n">
        <v>2</v>
      </c>
      <c r="B7" s="16" t="s">
        <v>156</v>
      </c>
      <c r="C7" s="16" t="s">
        <v>162</v>
      </c>
      <c r="D7" s="15" t="s">
        <v>158</v>
      </c>
      <c r="E7" s="15" t="s">
        <v>4</v>
      </c>
      <c r="F7" s="15" t="s">
        <v>67</v>
      </c>
      <c r="G7" s="16" t="s">
        <v>68</v>
      </c>
      <c r="H7" s="16" t="s">
        <v>159</v>
      </c>
      <c r="I7" s="15" t="s">
        <v>70</v>
      </c>
      <c r="J7" s="15" t="s">
        <v>160</v>
      </c>
      <c r="K7" s="17" t="s">
        <v>44</v>
      </c>
      <c r="L7" s="16" t="s">
        <v>161</v>
      </c>
    </row>
    <row r="8" customFormat="false" ht="45.75" hidden="false" customHeight="true" outlineLevel="0" collapsed="false">
      <c r="A8" s="15" t="n">
        <v>3</v>
      </c>
      <c r="B8" s="16" t="s">
        <v>156</v>
      </c>
      <c r="C8" s="16" t="s">
        <v>163</v>
      </c>
      <c r="D8" s="15" t="s">
        <v>158</v>
      </c>
      <c r="E8" s="15" t="s">
        <v>4</v>
      </c>
      <c r="F8" s="15" t="s">
        <v>67</v>
      </c>
      <c r="G8" s="16" t="s">
        <v>68</v>
      </c>
      <c r="H8" s="16" t="s">
        <v>159</v>
      </c>
      <c r="I8" s="15" t="s">
        <v>70</v>
      </c>
      <c r="J8" s="15" t="s">
        <v>160</v>
      </c>
      <c r="K8" s="17" t="s">
        <v>44</v>
      </c>
      <c r="L8" s="16" t="s">
        <v>161</v>
      </c>
    </row>
    <row r="9" customFormat="false" ht="45.75" hidden="false" customHeight="true" outlineLevel="0" collapsed="false">
      <c r="A9" s="15" t="n">
        <v>4</v>
      </c>
      <c r="B9" s="16" t="s">
        <v>156</v>
      </c>
      <c r="C9" s="16" t="s">
        <v>164</v>
      </c>
      <c r="D9" s="15" t="s">
        <v>158</v>
      </c>
      <c r="E9" s="15" t="s">
        <v>4</v>
      </c>
      <c r="F9" s="15" t="s">
        <v>67</v>
      </c>
      <c r="G9" s="16" t="s">
        <v>68</v>
      </c>
      <c r="H9" s="16" t="s">
        <v>159</v>
      </c>
      <c r="I9" s="15" t="s">
        <v>70</v>
      </c>
      <c r="J9" s="15" t="s">
        <v>160</v>
      </c>
      <c r="K9" s="17" t="s">
        <v>44</v>
      </c>
      <c r="L9" s="16" t="s">
        <v>161</v>
      </c>
    </row>
    <row r="10" customFormat="false" ht="45.75" hidden="false" customHeight="true" outlineLevel="0" collapsed="false">
      <c r="A10" s="15" t="n">
        <v>5</v>
      </c>
      <c r="B10" s="16" t="s">
        <v>156</v>
      </c>
      <c r="C10" s="16" t="s">
        <v>165</v>
      </c>
      <c r="D10" s="15" t="s">
        <v>158</v>
      </c>
      <c r="E10" s="15" t="s">
        <v>4</v>
      </c>
      <c r="F10" s="15" t="s">
        <v>166</v>
      </c>
      <c r="G10" s="16" t="s">
        <v>68</v>
      </c>
      <c r="H10" s="16" t="s">
        <v>159</v>
      </c>
      <c r="I10" s="15" t="s">
        <v>70</v>
      </c>
      <c r="J10" s="15" t="s">
        <v>160</v>
      </c>
      <c r="K10" s="17" t="s">
        <v>44</v>
      </c>
      <c r="L10" s="16" t="s">
        <v>161</v>
      </c>
    </row>
    <row r="11" customFormat="false" ht="45.75" hidden="false" customHeight="true" outlineLevel="0" collapsed="false">
      <c r="A11" s="15" t="n">
        <v>6</v>
      </c>
      <c r="B11" s="16" t="s">
        <v>156</v>
      </c>
      <c r="C11" s="16" t="s">
        <v>167</v>
      </c>
      <c r="D11" s="15" t="s">
        <v>158</v>
      </c>
      <c r="E11" s="15" t="s">
        <v>4</v>
      </c>
      <c r="F11" s="15" t="s">
        <v>67</v>
      </c>
      <c r="G11" s="16" t="s">
        <v>68</v>
      </c>
      <c r="H11" s="16" t="s">
        <v>159</v>
      </c>
      <c r="I11" s="15" t="s">
        <v>70</v>
      </c>
      <c r="J11" s="15" t="s">
        <v>160</v>
      </c>
      <c r="K11" s="17" t="s">
        <v>44</v>
      </c>
      <c r="L11" s="16" t="s">
        <v>161</v>
      </c>
    </row>
    <row r="12" customFormat="false" ht="45.75" hidden="false" customHeight="true" outlineLevel="0" collapsed="false">
      <c r="A12" s="15" t="n">
        <v>7</v>
      </c>
      <c r="B12" s="16" t="s">
        <v>156</v>
      </c>
      <c r="C12" s="16" t="s">
        <v>168</v>
      </c>
      <c r="D12" s="15" t="s">
        <v>158</v>
      </c>
      <c r="E12" s="15" t="s">
        <v>4</v>
      </c>
      <c r="F12" s="15" t="s">
        <v>67</v>
      </c>
      <c r="G12" s="16" t="s">
        <v>68</v>
      </c>
      <c r="H12" s="16" t="s">
        <v>159</v>
      </c>
      <c r="I12" s="15" t="s">
        <v>70</v>
      </c>
      <c r="J12" s="15" t="s">
        <v>160</v>
      </c>
      <c r="K12" s="17" t="s">
        <v>44</v>
      </c>
      <c r="L12" s="16" t="s">
        <v>161</v>
      </c>
    </row>
    <row r="13" customFormat="false" ht="45.75" hidden="false" customHeight="true" outlineLevel="0" collapsed="false">
      <c r="A13" s="15" t="n">
        <v>8</v>
      </c>
      <c r="B13" s="16" t="s">
        <v>156</v>
      </c>
      <c r="C13" s="16" t="s">
        <v>169</v>
      </c>
      <c r="D13" s="15" t="s">
        <v>158</v>
      </c>
      <c r="E13" s="15" t="s">
        <v>4</v>
      </c>
      <c r="F13" s="15" t="s">
        <v>67</v>
      </c>
      <c r="G13" s="16" t="s">
        <v>68</v>
      </c>
      <c r="H13" s="16" t="s">
        <v>159</v>
      </c>
      <c r="I13" s="15" t="s">
        <v>70</v>
      </c>
      <c r="J13" s="15" t="s">
        <v>160</v>
      </c>
      <c r="K13" s="17" t="s">
        <v>44</v>
      </c>
      <c r="L13" s="16" t="s">
        <v>161</v>
      </c>
    </row>
    <row r="14" customFormat="false" ht="45.75" hidden="false" customHeight="true" outlineLevel="0" collapsed="false">
      <c r="A14" s="15" t="n">
        <v>9</v>
      </c>
      <c r="B14" s="16" t="s">
        <v>156</v>
      </c>
      <c r="C14" s="16" t="s">
        <v>170</v>
      </c>
      <c r="D14" s="15" t="s">
        <v>158</v>
      </c>
      <c r="E14" s="15" t="s">
        <v>4</v>
      </c>
      <c r="F14" s="15" t="s">
        <v>67</v>
      </c>
      <c r="G14" s="16" t="s">
        <v>68</v>
      </c>
      <c r="H14" s="16" t="s">
        <v>159</v>
      </c>
      <c r="I14" s="15" t="s">
        <v>70</v>
      </c>
      <c r="J14" s="15" t="s">
        <v>160</v>
      </c>
      <c r="K14" s="17" t="s">
        <v>44</v>
      </c>
      <c r="L14" s="16" t="s">
        <v>161</v>
      </c>
    </row>
    <row r="15" customFormat="false" ht="45.75" hidden="false" customHeight="true" outlineLevel="0" collapsed="false">
      <c r="A15" s="15" t="n">
        <v>10</v>
      </c>
      <c r="B15" s="16" t="s">
        <v>156</v>
      </c>
      <c r="C15" s="16" t="s">
        <v>171</v>
      </c>
      <c r="D15" s="15" t="s">
        <v>158</v>
      </c>
      <c r="E15" s="15" t="s">
        <v>4</v>
      </c>
      <c r="F15" s="15" t="s">
        <v>67</v>
      </c>
      <c r="G15" s="16" t="s">
        <v>68</v>
      </c>
      <c r="H15" s="16" t="s">
        <v>159</v>
      </c>
      <c r="I15" s="15" t="s">
        <v>70</v>
      </c>
      <c r="J15" s="15" t="s">
        <v>160</v>
      </c>
      <c r="K15" s="17" t="s">
        <v>44</v>
      </c>
      <c r="L15" s="16" t="s">
        <v>161</v>
      </c>
    </row>
    <row r="16" customFormat="false" ht="45.75" hidden="false" customHeight="true" outlineLevel="0" collapsed="false">
      <c r="A16" s="15" t="n">
        <v>11</v>
      </c>
      <c r="B16" s="16" t="s">
        <v>156</v>
      </c>
      <c r="C16" s="16" t="s">
        <v>172</v>
      </c>
      <c r="D16" s="15" t="s">
        <v>158</v>
      </c>
      <c r="E16" s="15" t="s">
        <v>4</v>
      </c>
      <c r="F16" s="15" t="s">
        <v>67</v>
      </c>
      <c r="G16" s="16" t="s">
        <v>68</v>
      </c>
      <c r="H16" s="16" t="s">
        <v>159</v>
      </c>
      <c r="I16" s="15" t="s">
        <v>70</v>
      </c>
      <c r="J16" s="15" t="s">
        <v>160</v>
      </c>
      <c r="K16" s="17" t="s">
        <v>44</v>
      </c>
      <c r="L16" s="16" t="s">
        <v>161</v>
      </c>
    </row>
    <row r="17" customFormat="false" ht="45.75" hidden="false" customHeight="true" outlineLevel="0" collapsed="false">
      <c r="A17" s="15" t="n">
        <v>12</v>
      </c>
      <c r="B17" s="16" t="s">
        <v>156</v>
      </c>
      <c r="C17" s="16" t="s">
        <v>173</v>
      </c>
      <c r="D17" s="15" t="s">
        <v>158</v>
      </c>
      <c r="E17" s="15" t="s">
        <v>4</v>
      </c>
      <c r="F17" s="15" t="s">
        <v>67</v>
      </c>
      <c r="G17" s="16" t="s">
        <v>68</v>
      </c>
      <c r="H17" s="16" t="s">
        <v>159</v>
      </c>
      <c r="I17" s="15" t="s">
        <v>70</v>
      </c>
      <c r="J17" s="15" t="s">
        <v>160</v>
      </c>
      <c r="K17" s="17" t="s">
        <v>44</v>
      </c>
      <c r="L17" s="16" t="s">
        <v>161</v>
      </c>
    </row>
    <row r="18" customFormat="false" ht="45.75" hidden="false" customHeight="true" outlineLevel="0" collapsed="false">
      <c r="A18" s="15" t="n">
        <v>13</v>
      </c>
      <c r="B18" s="16" t="s">
        <v>156</v>
      </c>
      <c r="C18" s="16" t="s">
        <v>174</v>
      </c>
      <c r="D18" s="15" t="s">
        <v>158</v>
      </c>
      <c r="E18" s="15" t="s">
        <v>4</v>
      </c>
      <c r="F18" s="15" t="s">
        <v>67</v>
      </c>
      <c r="G18" s="16" t="s">
        <v>68</v>
      </c>
      <c r="H18" s="16" t="s">
        <v>159</v>
      </c>
      <c r="I18" s="15" t="s">
        <v>70</v>
      </c>
      <c r="J18" s="15" t="s">
        <v>160</v>
      </c>
      <c r="K18" s="17" t="s">
        <v>44</v>
      </c>
      <c r="L18" s="16" t="s">
        <v>161</v>
      </c>
    </row>
    <row r="19" customFormat="false" ht="45.75" hidden="false" customHeight="true" outlineLevel="0" collapsed="false">
      <c r="A19" s="15" t="n">
        <v>14</v>
      </c>
      <c r="B19" s="16" t="s">
        <v>156</v>
      </c>
      <c r="C19" s="16" t="s">
        <v>175</v>
      </c>
      <c r="D19" s="15" t="s">
        <v>158</v>
      </c>
      <c r="E19" s="15" t="s">
        <v>4</v>
      </c>
      <c r="F19" s="15" t="s">
        <v>105</v>
      </c>
      <c r="G19" s="16" t="s">
        <v>68</v>
      </c>
      <c r="H19" s="16" t="s">
        <v>159</v>
      </c>
      <c r="I19" s="15" t="s">
        <v>70</v>
      </c>
      <c r="J19" s="15" t="s">
        <v>160</v>
      </c>
      <c r="K19" s="17" t="s">
        <v>44</v>
      </c>
      <c r="L19" s="16" t="s">
        <v>161</v>
      </c>
    </row>
    <row r="20" customFormat="false" ht="45.75" hidden="false" customHeight="true" outlineLevel="0" collapsed="false">
      <c r="A20" s="15" t="n">
        <v>15</v>
      </c>
      <c r="B20" s="16" t="s">
        <v>156</v>
      </c>
      <c r="C20" s="16" t="s">
        <v>176</v>
      </c>
      <c r="D20" s="15" t="s">
        <v>158</v>
      </c>
      <c r="E20" s="15" t="s">
        <v>4</v>
      </c>
      <c r="F20" s="15" t="s">
        <v>177</v>
      </c>
      <c r="G20" s="16" t="s">
        <v>68</v>
      </c>
      <c r="H20" s="16" t="s">
        <v>159</v>
      </c>
      <c r="I20" s="15" t="s">
        <v>70</v>
      </c>
      <c r="J20" s="15" t="s">
        <v>160</v>
      </c>
      <c r="K20" s="17" t="s">
        <v>44</v>
      </c>
      <c r="L20" s="16" t="s">
        <v>161</v>
      </c>
    </row>
    <row r="21" customFormat="false" ht="45.75" hidden="false" customHeight="true" outlineLevel="0" collapsed="false">
      <c r="A21" s="15" t="n">
        <v>16</v>
      </c>
      <c r="B21" s="16" t="s">
        <v>156</v>
      </c>
      <c r="C21" s="16" t="s">
        <v>178</v>
      </c>
      <c r="D21" s="15" t="s">
        <v>158</v>
      </c>
      <c r="E21" s="15" t="s">
        <v>4</v>
      </c>
      <c r="F21" s="15" t="s">
        <v>67</v>
      </c>
      <c r="G21" s="16" t="s">
        <v>68</v>
      </c>
      <c r="H21" s="16" t="s">
        <v>159</v>
      </c>
      <c r="I21" s="15" t="s">
        <v>70</v>
      </c>
      <c r="J21" s="15" t="s">
        <v>160</v>
      </c>
      <c r="K21" s="17" t="s">
        <v>44</v>
      </c>
      <c r="L21" s="16" t="s">
        <v>161</v>
      </c>
    </row>
    <row r="22" customFormat="false" ht="45.75" hidden="false" customHeight="true" outlineLevel="0" collapsed="false">
      <c r="A22" s="15" t="n">
        <v>17</v>
      </c>
      <c r="B22" s="16" t="s">
        <v>156</v>
      </c>
      <c r="C22" s="16" t="s">
        <v>179</v>
      </c>
      <c r="D22" s="15" t="s">
        <v>158</v>
      </c>
      <c r="E22" s="15" t="s">
        <v>4</v>
      </c>
      <c r="F22" s="15" t="s">
        <v>67</v>
      </c>
      <c r="G22" s="16" t="s">
        <v>68</v>
      </c>
      <c r="H22" s="16" t="s">
        <v>159</v>
      </c>
      <c r="I22" s="15" t="s">
        <v>70</v>
      </c>
      <c r="J22" s="15" t="s">
        <v>160</v>
      </c>
      <c r="K22" s="17" t="s">
        <v>44</v>
      </c>
      <c r="L22" s="16" t="s">
        <v>161</v>
      </c>
    </row>
  </sheetData>
  <autoFilter ref="A4:L22"/>
  <conditionalFormatting sqref="E5:E22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1" r:id="rId6" display="Apply ↗"/>
    <hyperlink ref="K12" r:id="rId7" display="Apply ↗"/>
    <hyperlink ref="K13" r:id="rId8" display="Apply ↗"/>
    <hyperlink ref="K14" r:id="rId9" display="Apply ↗"/>
    <hyperlink ref="K15" r:id="rId10" display="Apply ↗"/>
    <hyperlink ref="K16" r:id="rId11" display="Apply ↗"/>
    <hyperlink ref="K17" r:id="rId12" display="Apply ↗"/>
    <hyperlink ref="K18" r:id="rId13" display="Apply ↗"/>
    <hyperlink ref="K19" r:id="rId14" display="Apply ↗"/>
    <hyperlink ref="K20" r:id="rId15" display="Apply ↗"/>
    <hyperlink ref="K21" r:id="rId16" display="Apply ↗"/>
    <hyperlink ref="K22" r:id="rId17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20"/>
    <col collapsed="false" customWidth="true" hidden="false" outlineLevel="0" max="6" min="5" style="1" width="10"/>
    <col collapsed="false" customWidth="true" hidden="false" outlineLevel="0" max="7" min="7" style="1" width="16"/>
    <col collapsed="false" customWidth="true" hidden="false" outlineLevel="0" max="8" min="8" style="1" width="44"/>
  </cols>
  <sheetData>
    <row r="1" customFormat="false" ht="17.25" hidden="false" customHeight="true" outlineLevel="0" collapsed="false">
      <c r="A1" s="11" t="s">
        <v>180</v>
      </c>
    </row>
    <row r="2" customFormat="false" ht="15" hidden="false" customHeight="true" outlineLevel="0" collapsed="false">
      <c r="A2" s="12" t="s">
        <v>181</v>
      </c>
    </row>
    <row r="4" customFormat="false" ht="25.5" hidden="false" customHeight="true" outlineLevel="0" collapsed="false">
      <c r="A4" s="4" t="s">
        <v>23</v>
      </c>
      <c r="B4" s="4" t="s">
        <v>182</v>
      </c>
      <c r="C4" s="4" t="s">
        <v>25</v>
      </c>
      <c r="D4" s="4" t="s">
        <v>183</v>
      </c>
      <c r="E4" s="4" t="s">
        <v>184</v>
      </c>
      <c r="F4" s="4" t="s">
        <v>32</v>
      </c>
      <c r="G4" s="4" t="s">
        <v>185</v>
      </c>
      <c r="H4" s="4" t="s">
        <v>34</v>
      </c>
    </row>
    <row r="5" customFormat="false" ht="15" hidden="false" customHeight="true" outlineLevel="0" collapsed="false">
      <c r="A5" s="13" t="s">
        <v>186</v>
      </c>
      <c r="B5" s="14"/>
      <c r="C5" s="14"/>
      <c r="D5" s="14"/>
      <c r="E5" s="14"/>
      <c r="F5" s="14"/>
      <c r="G5" s="14"/>
      <c r="H5" s="14"/>
    </row>
    <row r="6" customFormat="false" ht="15" hidden="false" customHeight="true" outlineLevel="0" collapsed="false">
      <c r="A6" s="15" t="n">
        <v>1</v>
      </c>
      <c r="B6" s="15" t="s">
        <v>187</v>
      </c>
      <c r="C6" s="16" t="s">
        <v>188</v>
      </c>
      <c r="D6" s="15" t="s">
        <v>189</v>
      </c>
      <c r="E6" s="15" t="s">
        <v>190</v>
      </c>
      <c r="F6" s="15" t="s">
        <v>191</v>
      </c>
      <c r="G6" s="17" t="s">
        <v>44</v>
      </c>
      <c r="H6" s="16" t="s">
        <v>192</v>
      </c>
    </row>
    <row r="7" customFormat="false" ht="15" hidden="false" customHeight="true" outlineLevel="0" collapsed="false">
      <c r="A7" s="15" t="n">
        <v>2</v>
      </c>
      <c r="B7" s="15" t="s">
        <v>187</v>
      </c>
      <c r="C7" s="16" t="s">
        <v>193</v>
      </c>
      <c r="D7" s="15" t="s">
        <v>194</v>
      </c>
      <c r="E7" s="15" t="s">
        <v>190</v>
      </c>
      <c r="F7" s="15" t="s">
        <v>62</v>
      </c>
      <c r="G7" s="17" t="s">
        <v>44</v>
      </c>
      <c r="H7" s="16" t="s">
        <v>195</v>
      </c>
    </row>
    <row r="8" customFormat="false" ht="15" hidden="false" customHeight="true" outlineLevel="0" collapsed="false">
      <c r="A8" s="15" t="n">
        <v>3</v>
      </c>
      <c r="B8" s="15" t="s">
        <v>187</v>
      </c>
      <c r="C8" s="16" t="s">
        <v>196</v>
      </c>
      <c r="D8" s="15" t="s">
        <v>197</v>
      </c>
      <c r="E8" s="15" t="s">
        <v>198</v>
      </c>
      <c r="F8" s="15" t="s">
        <v>62</v>
      </c>
      <c r="G8" s="17" t="s">
        <v>44</v>
      </c>
      <c r="H8" s="16" t="s">
        <v>199</v>
      </c>
    </row>
    <row r="9" customFormat="false" ht="15" hidden="false" customHeight="true" outlineLevel="0" collapsed="false">
      <c r="A9" s="13" t="s">
        <v>200</v>
      </c>
      <c r="B9" s="14"/>
      <c r="C9" s="14"/>
      <c r="D9" s="14"/>
      <c r="E9" s="14"/>
      <c r="F9" s="14"/>
      <c r="G9" s="14"/>
      <c r="H9" s="14"/>
    </row>
    <row r="10" customFormat="false" ht="23.25" hidden="false" customHeight="true" outlineLevel="0" collapsed="false">
      <c r="A10" s="15" t="n">
        <v>4</v>
      </c>
      <c r="B10" s="15" t="s">
        <v>201</v>
      </c>
      <c r="C10" s="16" t="s">
        <v>202</v>
      </c>
      <c r="D10" s="15" t="s">
        <v>203</v>
      </c>
      <c r="E10" s="15" t="s">
        <v>204</v>
      </c>
      <c r="F10" s="15" t="s">
        <v>62</v>
      </c>
      <c r="G10" s="17" t="s">
        <v>44</v>
      </c>
      <c r="H10" s="16" t="s">
        <v>205</v>
      </c>
    </row>
    <row r="11" customFormat="false" ht="23.25" hidden="false" customHeight="true" outlineLevel="0" collapsed="false">
      <c r="A11" s="15" t="n">
        <v>5</v>
      </c>
      <c r="B11" s="15" t="s">
        <v>201</v>
      </c>
      <c r="C11" s="16" t="s">
        <v>206</v>
      </c>
      <c r="D11" s="15" t="s">
        <v>203</v>
      </c>
      <c r="E11" s="15" t="s">
        <v>204</v>
      </c>
      <c r="F11" s="15" t="s">
        <v>62</v>
      </c>
      <c r="G11" s="17" t="s">
        <v>44</v>
      </c>
      <c r="H11" s="16" t="s">
        <v>207</v>
      </c>
    </row>
    <row r="12" customFormat="false" ht="15" hidden="false" customHeight="true" outlineLevel="0" collapsed="false">
      <c r="A12" s="15" t="n">
        <v>6</v>
      </c>
      <c r="B12" s="15" t="s">
        <v>201</v>
      </c>
      <c r="C12" s="16" t="s">
        <v>208</v>
      </c>
      <c r="D12" s="15" t="s">
        <v>203</v>
      </c>
      <c r="E12" s="15" t="s">
        <v>204</v>
      </c>
      <c r="F12" s="15" t="s">
        <v>62</v>
      </c>
      <c r="G12" s="17" t="s">
        <v>44</v>
      </c>
      <c r="H12" s="16" t="s">
        <v>209</v>
      </c>
    </row>
    <row r="13" customFormat="false" ht="15" hidden="false" customHeight="true" outlineLevel="0" collapsed="false">
      <c r="A13" s="13" t="s">
        <v>210</v>
      </c>
      <c r="B13" s="14"/>
      <c r="C13" s="14"/>
      <c r="D13" s="14"/>
      <c r="E13" s="14"/>
      <c r="F13" s="14"/>
      <c r="G13" s="14"/>
      <c r="H13" s="14"/>
    </row>
    <row r="14" customFormat="false" ht="23.25" hidden="false" customHeight="true" outlineLevel="0" collapsed="false">
      <c r="A14" s="15" t="n">
        <v>7</v>
      </c>
      <c r="B14" s="15" t="s">
        <v>211</v>
      </c>
      <c r="C14" s="16" t="s">
        <v>212</v>
      </c>
      <c r="D14" s="15" t="s">
        <v>213</v>
      </c>
      <c r="E14" s="15" t="s">
        <v>214</v>
      </c>
      <c r="F14" s="15" t="s">
        <v>62</v>
      </c>
      <c r="G14" s="17" t="s">
        <v>44</v>
      </c>
      <c r="H14" s="16" t="s">
        <v>215</v>
      </c>
    </row>
    <row r="15" customFormat="false" ht="15" hidden="false" customHeight="true" outlineLevel="0" collapsed="false">
      <c r="A15" s="13" t="s">
        <v>216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5" t="n">
        <v>8</v>
      </c>
      <c r="B16" s="15" t="s">
        <v>217</v>
      </c>
      <c r="C16" s="16" t="s">
        <v>218</v>
      </c>
      <c r="D16" s="15" t="s">
        <v>213</v>
      </c>
      <c r="E16" s="15" t="s">
        <v>214</v>
      </c>
      <c r="F16" s="15" t="s">
        <v>62</v>
      </c>
      <c r="G16" s="17" t="s">
        <v>44</v>
      </c>
      <c r="H16" s="16" t="s">
        <v>219</v>
      </c>
    </row>
  </sheetData>
  <autoFilter ref="A4:H16"/>
  <hyperlinks>
    <hyperlink ref="G6" r:id="rId1" display="Apply ↗"/>
    <hyperlink ref="G7" r:id="rId2" display="Apply ↗"/>
    <hyperlink ref="G8" r:id="rId3" display="Apply ↗"/>
    <hyperlink ref="G10" r:id="rId4" display="Apply ↗"/>
    <hyperlink ref="G11" r:id="rId5" display="Apply ↗"/>
    <hyperlink ref="G12" r:id="rId6" display="Apply ↗"/>
    <hyperlink ref="G14" r:id="rId7" display="Apply ↗"/>
    <hyperlink ref="G16" r:id="rId8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2026-10-23T04:12:33Z</dcterms:created>
  <dc:creator>openpyxl</dc:creator>
  <dc:description/>
  <dc:language>en-US</dc:language>
  <cp:lastModifiedBy/>
  <dcterms:modified xsi:type="dcterms:W3CDTF">2026-10-23T04:12:42Z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