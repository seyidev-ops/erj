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VA &amp; Admin" sheetId="3" state="visible" r:id="rId5"/>
    <sheet name="HR &amp; Legal" sheetId="4" state="visible" r:id="rId6"/>
    <sheet name="Sales" sheetId="5" state="visible" r:id="rId7"/>
    <sheet name="Marketing &amp; Creative" sheetId="6" state="visible" r:id="rId8"/>
    <sheet name="Tech &amp; Operations" sheetId="7" state="visible" r:id="rId9"/>
    <sheet name="micro1 Referral" sheetId="8" state="visible" r:id="rId10"/>
  </sheets>
  <definedNames>
    <definedName function="false" hidden="false" localSheetId="1" name="_xlnm.Print_Area" vbProcedure="false">'Customer Support'!$A$1:$L$6</definedName>
    <definedName function="false" hidden="true" localSheetId="1" name="_xlnm._FilterDatabase" vbProcedure="false">'Customer Support'!$A$4:$L$6</definedName>
    <definedName function="false" hidden="false" localSheetId="3" name="_xlnm.Print_Area" vbProcedure="false">'HR &amp; Legal'!$A$1:$L$7</definedName>
    <definedName function="false" hidden="true" localSheetId="3" name="_xlnm._FilterDatabase" vbProcedure="false">'HR &amp; Legal'!$A$4:$L$7</definedName>
    <definedName function="false" hidden="false" localSheetId="5" name="_xlnm.Print_Area" vbProcedure="false">'Marketing &amp; Creative'!$A$1:$L$6</definedName>
    <definedName function="false" hidden="true" localSheetId="5" name="_xlnm._FilterDatabase" vbProcedure="false">'Marketing &amp; Creative'!$A$4:$L$6</definedName>
    <definedName function="false" hidden="true" localSheetId="7" name="_xlnm._FilterDatabase" vbProcedure="false">'micro1 Referral'!$A$4:$H$17</definedName>
    <definedName function="false" hidden="false" localSheetId="4" name="_xlnm.Print_Area" vbProcedure="false">Sales!$A$1:$L$8</definedName>
    <definedName function="false" hidden="true" localSheetId="4" name="_xlnm._FilterDatabase" vbProcedure="false">Sales!$A$4:$L$8</definedName>
    <definedName function="false" hidden="false" localSheetId="6" name="_xlnm.Print_Area" vbProcedure="false">'Tech &amp; Operations'!$A$1:$L$11</definedName>
    <definedName function="false" hidden="true" localSheetId="6" name="_xlnm._FilterDatabase" vbProcedure="false">'Tech &amp; Operations'!$A$4:$L$11</definedName>
    <definedName function="false" hidden="false" localSheetId="2" name="_xlnm.Print_Area" vbProcedure="false">'VA &amp; Admin'!$A$1:$L$12</definedName>
    <definedName function="false" hidden="true" localSheetId="2" name="_xlnm._FilterDatabase" vbProcedure="false">'VA &amp; Admin'!$A$4:$L$12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<sst xmlns="http://schemas.openxmlformats.org/spreadsheetml/2006/main" count="393" uniqueCount="156">
  <si>
    <t xml:space="preserve">ERJ Remote Job Search Sheet — 29 Oct 2026</t>
  </si>
  <si>
    <t xml:space="preserve">Roles posted or first appearing from 27 Oct (including those that showed up after the 27 Oct sheet was made) to 29 Oct · fully remote · open to Nigeria · no repeated links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</si>
  <si>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</si>
  <si>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</si>
  <si>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</si>
  <si>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</si>
  <si>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</si>
  <si>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VA &amp; Admin</t>
  </si>
  <si>
    <t xml:space="preserve">HR &amp; Legal</t>
  </si>
  <si>
    <t xml:space="preserve">Sales</t>
  </si>
  <si>
    <t xml:space="preserve">Marketing &amp; Creative</t>
  </si>
  <si>
    <t xml:space="preserve">Tech &amp; Operations</t>
  </si>
  <si>
    <t xml:space="preserve">micro1 Referral</t>
  </si>
  <si>
    <t xml:space="preserve">Notes</t>
  </si>
  <si>
    <t xml:space="preserve">• Rule used: the posting names Nigeria, Africa, or worldwide/anywhere. EMEA-only, plain "Remote" and roles with office days were left out.</t>
  </si>
  <si>
    <t xml:space="preserve">• Every link here is new: none appears on the 27 Oct sheet or any earlier ERJ sheet.</t>
  </si>
  <si>
    <t xml:space="preserve">• Legal is covered this time: two Nigeria-based counsel roles via Jobgether.</t>
  </si>
  <si>
    <t xml:space="preserve">• Openhill Global and 10Alytics: no new roles (all current openings already shared).</t>
  </si>
  <si>
    <t xml:space="preserve">• Left out: micro1 intelligence, military, DoD, naval and nuclear roles, its two US attorney roles and the AI Jailbreak role (shows as closed); Welocalize German Music Localization (German required); South Africa-only VA and paralegal roles found in search; Team4Tech AI Project Manager (40% travel).</t>
  </si>
  <si>
    <t xml:space="preserve">Customer Support — new remote roles open to Nigeria (29 Oct 2026)</t>
  </si>
  <si>
    <t xml:space="preserve">Posted or first appeared 27–29 Oct 2026 · fully remote · open to people in Nigeria · no link from any earlier ERJ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</si>
  <si>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</si>
  <si>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</si>
  <si>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</si>
  <si>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</si>
  <si>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</si>
  <si>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</si>
  <si>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</si>
  <si>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</si>
  <si>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Source</t>
  </si>
  <si>
    <t xml:space="preserve">Posted</t>
  </si>
  <si>
    <t xml:space="preserve">Apply link</t>
  </si>
  <si>
    <t xml:space="preserve">Note</t>
  </si>
  <si>
    <t xml:space="preserve">▸ Worldwide / global</t>
  </si>
  <si>
    <t xml:space="preserve">Anywhere in the World</t>
  </si>
  <si>
    <t xml:space="preserve">Customer Onboarding Specialist for Company Incorporations (Full Time)</t>
  </si>
  <si>
    <t xml:space="preserve">Flag Theory</t>
  </si>
  <si>
    <t xml:space="preserve">2+ years</t>
  </si>
  <si>
    <t xml:space="preserve">Undisclosed</t>
  </si>
  <si>
    <t xml:space="preserve">2+ years of hands-on experience in corporate services or company incorporation; Proven knowledge of KYC processes and compliance protocols</t>
  </si>
  <si>
    <t xml:space="preserve">We Work Remotely</t>
  </si>
  <si>
    <t xml:space="preserve">28 Oct</t>
  </si>
  <si>
    <t xml:space="preserve">Apply ↗</t>
  </si>
  <si>
    <t xml:space="preserve">Listed on We Work Remotely (no login needed)</t>
  </si>
  <si>
    <t xml:space="preserve">VA &amp; Admin — new remote roles open to Nigeria (29 Oct 2026)</t>
  </si>
  <si>
    <t xml:space="preserve">Worldwide</t>
  </si>
  <si>
    <t xml:space="preserve">Administrative &amp; Client Communications Virtual Assistant</t>
  </si>
  <si>
    <t xml:space="preserve">20four7VA</t>
  </si>
  <si>
    <t xml:space="preserve">Not stated</t>
  </si>
  <si>
    <t xml:space="preserve">Administrative, executive support, or customer-service experience required; Excellent written English and professional email communication required</t>
  </si>
  <si>
    <t xml:space="preserve">Breezy</t>
  </si>
  <si>
    <t xml:space="preserve">27 Oct</t>
  </si>
  <si>
    <t xml:space="preserve">Customer Service &amp; Operations Coordinator Virtual Assistant</t>
  </si>
  <si>
    <t xml:space="preserve">Customer service or operations administration experience required; Excellent written English and strong proofreading skills required</t>
  </si>
  <si>
    <t xml:space="preserve">Executive Assistant Virtual Assistant</t>
  </si>
  <si>
    <t xml:space="preserve">Previous experience as an Executive Assistant, Senior Administrative Assistant, or similar role supporting senior leaders or executives; Strong calendar management, meeting coordination, and scheduling experience</t>
  </si>
  <si>
    <t xml:space="preserve">Inbound Customer Service &amp; Rental Booking Virtual Assistant</t>
  </si>
  <si>
    <t xml:space="preserve">Previous inbound customer service or phone support experience required; Excellent spoken English required</t>
  </si>
  <si>
    <t xml:space="preserve">Real Estate Transaction Coordination &amp; Administrative Virtual Assistant</t>
  </si>
  <si>
    <t xml:space="preserve">Previous U.S. real estate transaction coordination experience required; Experience with residential offer preparation and contract-to-close workflows strongly preferred</t>
  </si>
  <si>
    <t xml:space="preserve">Roofing Customer Service &amp; Scheduling Virtual Assistant</t>
  </si>
  <si>
    <t xml:space="preserve">Customer service, receptionist, or front desk support experience required; Back office or administrative experience strongly preferred</t>
  </si>
  <si>
    <t xml:space="preserve">Social Media &amp; Digital Marketing VA (Part-Time)</t>
  </si>
  <si>
    <t xml:space="preserve">Experience with social media management and digital marketing; Familiarity with Canva and basic graphic design</t>
  </si>
  <si>
    <t xml:space="preserve">HR &amp; Legal — new remote roles open to Nigeria (29 Oct 2026)</t>
  </si>
  <si>
    <t xml:space="preserve">▸ Nigeria-based remote</t>
  </si>
  <si>
    <t xml:space="preserve">Nigeria</t>
  </si>
  <si>
    <t xml:space="preserve">Product Compliance Counsel</t>
  </si>
  <si>
    <t xml:space="preserve">Jobgether partner</t>
  </si>
  <si>
    <t xml:space="preserve">$5,000</t>
  </si>
  <si>
    <t xml:space="preserve">Product Compliance; Marketing Compliance</t>
  </si>
  <si>
    <t xml:space="preserve">Lever</t>
  </si>
  <si>
    <t xml:space="preserve">Posted via Jobgether (partner company not named)</t>
  </si>
  <si>
    <t xml:space="preserve">Senior Corporate Counsel</t>
  </si>
  <si>
    <t xml:space="preserve">USD 180,000–300,000</t>
  </si>
  <si>
    <t xml:space="preserve">Lead global securities law compliance and provide strategic guidance on corporate governance matters relevant to a late-stage private…; Manage the international subsidiary structure, including board meetings, corporate records, entity reorganizations</t>
  </si>
  <si>
    <t xml:space="preserve">Sales — new remote roles open to Nigeria (29 Oct 2026)</t>
  </si>
  <si>
    <t xml:space="preserve">Sales Enablement Manager</t>
  </si>
  <si>
    <t xml:space="preserve">Upsun</t>
  </si>
  <si>
    <t xml:space="preserve">Enablement program experience; Sales or solutions engineering background</t>
  </si>
  <si>
    <t xml:space="preserve">Remote, Lagos, Nigeria / Moniepoint Headquaters</t>
  </si>
  <si>
    <t xml:space="preserve">Head of Personal Banking Sales Network</t>
  </si>
  <si>
    <t xml:space="preserve">Moniepoint</t>
  </si>
  <si>
    <t xml:space="preserve">Check — Lagos / HQ listed</t>
  </si>
  <si>
    <t xml:space="preserve">10–15 years</t>
  </si>
  <si>
    <t xml:space="preserve">$182</t>
  </si>
  <si>
    <t xml:space="preserve">10 - 15 years in field sales leadership, with at least 5 years leading regional sales leaders; Direct experience running a distributed agent, agency or independent contractor network of significant scale</t>
  </si>
  <si>
    <t xml:space="preserve">Greenhouse</t>
  </si>
  <si>
    <t xml:space="preserve">Listed as Remote, Lagos and HQ; a sales-network lead may need field travel</t>
  </si>
  <si>
    <t xml:space="preserve">Marketing &amp; Creative — new remote roles open to Nigeria (29 Oct 2026)</t>
  </si>
  <si>
    <t xml:space="preserve">▸ Region list incl. Nigeria</t>
  </si>
  <si>
    <t xml:space="preserve">Egypt / Argentina / Nigeria</t>
  </si>
  <si>
    <t xml:space="preserve">Social Media Community Manager</t>
  </si>
  <si>
    <t xml:space="preserve">Scale Army</t>
  </si>
  <si>
    <t xml:space="preserve">2–4 years</t>
  </si>
  <si>
    <t xml:space="preserve">$1.5K – $2K per month</t>
  </si>
  <si>
    <t xml:space="preserve">Strong written English communication and copy-editing skills; Strong understanding of B2B social media marketing and community engagement</t>
  </si>
  <si>
    <t xml:space="preserve">Ashby</t>
  </si>
  <si>
    <t xml:space="preserve">Tech &amp; Operations — new remote roles open to Nigeria (29 Oct 2026)</t>
  </si>
  <si>
    <t xml:space="preserve">Remote / Global</t>
  </si>
  <si>
    <t xml:space="preserve">Senior Data Scientist, MNO Data</t>
  </si>
  <si>
    <t xml:space="preserve">GiveDirectly</t>
  </si>
  <si>
    <t xml:space="preserve">Exceptional alignment with GiveDirectly Values and active demonstration of our core competencies: emotional intelligence, problem solving; Strong mathematical modeling, machine learning and statistics</t>
  </si>
  <si>
    <t xml:space="preserve">Nairobi / Cape Town / Lagos / Kampala / Accra / Johannesburg</t>
  </si>
  <si>
    <t xml:space="preserve">Senior Backend Engineer - Asset Sales</t>
  </si>
  <si>
    <t xml:space="preserve">M-KOPA</t>
  </si>
  <si>
    <t xml:space="preserve">Check — hub cities listed</t>
  </si>
  <si>
    <t xml:space="preserve">Strong grasp of C# and .NET development; Experience with event-driven systems - We use Azure Service Bus</t>
  </si>
  <si>
    <t xml:space="preserve">Lists Lagos among hub cities; confirm it is fully remote, not hybrid, before applying</t>
  </si>
  <si>
    <t xml:space="preserve">Senior Backend Engineer - Mobility</t>
  </si>
  <si>
    <t xml:space="preserve">Strong grasp of C# .NET development; Experience with event-driven systems: Service Bus or similar messaging technologies such as Kafka or RabbitMQ</t>
  </si>
  <si>
    <t xml:space="preserve">Senior CRM Manager</t>
  </si>
  <si>
    <t xml:space="preserve">5+ years</t>
  </si>
  <si>
    <t xml:space="preserve">Build and run multi-channel campaigns (SMS, WhatsApp, push, in-app) in CleverTap against pod goals; Track funnel performance and flag drop-off points to the pod lead you're supporting</t>
  </si>
  <si>
    <t xml:space="preserve">Product Engineer (AI-Native)</t>
  </si>
  <si>
    <t xml:space="preserve">Social Discovery Group</t>
  </si>
  <si>
    <t xml:space="preserve">3+ years</t>
  </si>
  <si>
    <t xml:space="preserve">$5000</t>
  </si>
  <si>
    <t xml:space="preserve">Senior-level engineering background with experience owning a complex production system end-to-end: architecture, reliability; AI agents (Claude Code, Codex or similar) as your primary daily development tool</t>
  </si>
  <si>
    <t xml:space="preserve">Senior IT Systems Engineer</t>
  </si>
  <si>
    <t xml:space="preserve">Broad IT engineering experience; Depth in a core area</t>
  </si>
  <si>
    <t xml:space="preserve">micro1 — new roles on your referral link (29 Oct 2026)</t>
  </si>
  <si>
    <t xml:space="preserve">Every "Apply ↗" opens that exact micro1 job with your referral code built in.</t>
  </si>
  <si>
    <t xml:space="preserve">Field</t>
  </si>
  <si>
    <t xml:space="preserve">Openings</t>
  </si>
  <si>
    <t xml:space="preserve">Apply via referral</t>
  </si>
  <si>
    <t xml:space="preserve">▸ Insurance &amp; Claims</t>
  </si>
  <si>
    <t xml:space="preserve">Insurance &amp; Claims</t>
  </si>
  <si>
    <t xml:space="preserve">Senior Vehicle Damage and Condition Expert</t>
  </si>
  <si>
    <t xml:space="preserve">$20–60/hr</t>
  </si>
  <si>
    <t xml:space="preserve">10</t>
  </si>
  <si>
    <t xml:space="preserve">Global remote, ~10 hrs/week; auto damage estimating, 5+ yrs</t>
  </si>
  <si>
    <t xml:space="preserve">Senior Property Damage and Restoration Expert</t>
  </si>
  <si>
    <t xml:space="preserve">Global remote; desk adjusting, Xactimate</t>
  </si>
  <si>
    <t xml:space="preserve">Senior Claims Investigation and Evidence Review Expert</t>
  </si>
  <si>
    <t xml:space="preserve">Global remote; fraud / staged-loss detection</t>
  </si>
  <si>
    <t xml:space="preserve">Senior Specialty Inspection Expert, Crop, Auction and Rental</t>
  </si>
  <si>
    <t xml:space="preserve">Global remote; crop loss, auction and rental inspection</t>
  </si>
  <si>
    <t xml:space="preserve">▸ Logistics &amp; Engineering</t>
  </si>
  <si>
    <t xml:space="preserve">Logistics &amp; Engineering</t>
  </si>
  <si>
    <t xml:space="preserve">Senior Cargo Condition and Securing Surveyor</t>
  </si>
  <si>
    <t xml:space="preserve">Global remote; reefer cargo, container and lashing surveys</t>
  </si>
  <si>
    <t xml:space="preserve">Senior Advanced NDT and Imaging Specialist</t>
  </si>
  <si>
    <t xml:space="preserve">Global remote; ASNT / NAS 410 / EN 4179 certification required</t>
  </si>
  <si>
    <t xml:space="preserve">Senior Industrial Trades and Maintenance Expert</t>
  </si>
  <si>
    <t xml:space="preserve">Global remote; millwright and trade drawings</t>
  </si>
  <si>
    <t xml:space="preserve">Senior Technical Documentation, Parts and Annotation Specialist</t>
  </si>
  <si>
    <t xml:space="preserve">Remote; assembly manuals, parts ID, annotation QA</t>
  </si>
  <si>
    <t xml:space="preserve">Senior Flight Operations Expert</t>
  </si>
  <si>
    <t xml:space="preserve">Global remote; pilot or dispatcher background</t>
  </si>
  <si>
    <t xml:space="preserve">▸ Creative</t>
  </si>
  <si>
    <t xml:space="preserve">Creative</t>
  </si>
  <si>
    <t xml:space="preserve">Senior Photographer</t>
  </si>
  <si>
    <t xml:space="preserve">$55–105/hr</t>
  </si>
  <si>
    <t xml:space="preserve">50</t>
  </si>
  <si>
    <t xml:space="preserve">Remote; 5+ yrs professional photography, Lightroom/Photoshop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</si>
</sst>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A5B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29_Oct_2026.xlsx" TargetMode="External"/><Relationship Id="rId2" Type="http://schemas.openxmlformats.org/officeDocument/2006/relationships/hyperlink" Target="ERJ_Search_Sheet_29_Oct_2026.xlsx" TargetMode="External"/><Relationship Id="rId3" Type="http://schemas.openxmlformats.org/officeDocument/2006/relationships/hyperlink" Target="ERJ_Search_Sheet_29_Oct_2026.xlsx" TargetMode="External"/><Relationship Id="rId4" Type="http://schemas.openxmlformats.org/officeDocument/2006/relationships/hyperlink" Target="ERJ_Search_Sheet_29_Oct_2026.xlsx" TargetMode="External"/><Relationship Id="rId5" Type="http://schemas.openxmlformats.org/officeDocument/2006/relationships/hyperlink" Target="ERJ_Search_Sheet_29_Oct_2026.xlsx" TargetMode="External"/><Relationship Id="rId6" Type="http://schemas.openxmlformats.org/officeDocument/2006/relationships/hyperlink" Target="ERJ_Search_Sheet_29_Oct_2026.xlsx" TargetMode="External"/><Relationship Id="rId7" Type="http://schemas.openxmlformats.org/officeDocument/2006/relationships/hyperlink" Target="ERJ_Search_Sheet_29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eworkremotely.com/remote-jobs/flag-theory-customer-onboarding-specialist-for-company-incorporations-full-time-3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e354e68a8b50-cpt-11691-administrative-client-communications-virtual-assistant" TargetMode="External"/><Relationship Id="rId2" Type="http://schemas.openxmlformats.org/officeDocument/2006/relationships/hyperlink" Target="https://20four7va.breezy.hr/p/b849cbd02b26-cpt-11702-customer-service-operations-coordinator-virtual-assistant" TargetMode="External"/><Relationship Id="rId3" Type="http://schemas.openxmlformats.org/officeDocument/2006/relationships/hyperlink" Target="https://20four7va.breezy.hr/p/0e4e11873f81-cpt-11706-executive-assistant-virtual-assistant" TargetMode="External"/><Relationship Id="rId4" Type="http://schemas.openxmlformats.org/officeDocument/2006/relationships/hyperlink" Target="https://20four7va.breezy.hr/p/866a1ce8712b-cpt-11699-inbound-customer-service-rental-booking-virtual-assistant" TargetMode="External"/><Relationship Id="rId5" Type="http://schemas.openxmlformats.org/officeDocument/2006/relationships/hyperlink" Target="https://20four7va.breezy.hr/p/04900dd28500-cpt-11696-real-estate-transaction-coordination-administrative-virtual-assistant" TargetMode="External"/><Relationship Id="rId6" Type="http://schemas.openxmlformats.org/officeDocument/2006/relationships/hyperlink" Target="https://20four7va.breezy.hr/p/4610ee25b934-cpt-11709-roofing-customer-service-scheduling-virtual-assistant" TargetMode="External"/><Relationship Id="rId7" Type="http://schemas.openxmlformats.org/officeDocument/2006/relationships/hyperlink" Target="https://20four7va.breezy.hr/p/019a69307c30-cpt-11725-social-media-digital-marketing-va-part-time" TargetMode="External"/><Relationship Id="rId8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obs.lever.co/jobgether/590bfe19-8d3c-4ac2-91ac-6af575473a17" TargetMode="External"/><Relationship Id="rId2" Type="http://schemas.openxmlformats.org/officeDocument/2006/relationships/hyperlink" Target="https://jobs.lever.co/jobgether/9c40a987-ab79-4d40-9040-70a39e17bc0a" TargetMode="External"/><Relationship Id="rId3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eworkremotely.com/remote-jobs/upsun-sales-enablement-manager" TargetMode="External"/><Relationship Id="rId2" Type="http://schemas.openxmlformats.org/officeDocument/2006/relationships/hyperlink" Target="https://job-boards.eu.greenhouse.io/moniepoint/jobs/5017312101" TargetMode="External"/><Relationship Id="rId3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jobs.ashbyhq.com/Scale%20Army%20Careers/dcd1d27d-b2c7-4584-bd5f-edac20688fce" TargetMode="External"/><Relationship Id="rId2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job-boards.greenhouse.io/givedirectly/jobs/4748456005" TargetMode="External"/><Relationship Id="rId2" Type="http://schemas.openxmlformats.org/officeDocument/2006/relationships/hyperlink" Target="https://jobs.ashbyhq.com/M-KOPA/1edd2187-b684-439b-82da-adbdea1ce2be" TargetMode="External"/><Relationship Id="rId3" Type="http://schemas.openxmlformats.org/officeDocument/2006/relationships/hyperlink" Target="https://jobs.ashbyhq.com/M-KOPA/4f814df8-71c1-4aef-99ca-4ca5e47dd266" TargetMode="External"/><Relationship Id="rId4" Type="http://schemas.openxmlformats.org/officeDocument/2006/relationships/hyperlink" Target="https://jobs.ashbyhq.com/M-KOPA/cc5bb2a6-67f3-4ae2-b6eb-f7068b6c8618" TargetMode="External"/><Relationship Id="rId5" Type="http://schemas.openxmlformats.org/officeDocument/2006/relationships/hyperlink" Target="https://social-discovery-ventures.breezy.hr/p/e5a41beaf52b01-product-engineer-ai-native" TargetMode="External"/><Relationship Id="rId6" Type="http://schemas.openxmlformats.org/officeDocument/2006/relationships/hyperlink" Target="https://weworkremotely.com/remote-jobs/upsun-senior-it-systems-engineer" TargetMode="External"/><Relationship Id="rId7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jobs.micro1.ai/post/cc9ebbec-5710-47cb-a503-d3ee95cc691a?referralCode=d3605f74-92f0-4f1c-b8e2-4ab757bffc26" TargetMode="External"/><Relationship Id="rId2" Type="http://schemas.openxmlformats.org/officeDocument/2006/relationships/hyperlink" Target="https://jobs.micro1.ai/post/bbc4f744-7e2e-4b1c-9e23-a241bcdfb86d?referralCode=d3605f74-92f0-4f1c-b8e2-4ab757bffc26" TargetMode="External"/><Relationship Id="rId3" Type="http://schemas.openxmlformats.org/officeDocument/2006/relationships/hyperlink" Target="https://jobs.micro1.ai/post/99276d85-ae7f-4778-8833-0cf33210b973?referralCode=d3605f74-92f0-4f1c-b8e2-4ab757bffc26" TargetMode="External"/><Relationship Id="rId4" Type="http://schemas.openxmlformats.org/officeDocument/2006/relationships/hyperlink" Target="https://jobs.micro1.ai/post/c6de85cd-3286-41cf-a9f9-99cfb123d706?referralCode=d3605f74-92f0-4f1c-b8e2-4ab757bffc26" TargetMode="External"/><Relationship Id="rId5" Type="http://schemas.openxmlformats.org/officeDocument/2006/relationships/hyperlink" Target="https://jobs.micro1.ai/post/592578fa-213a-4f31-a03b-dfc077c63245?referralCode=d3605f74-92f0-4f1c-b8e2-4ab757bffc26" TargetMode="External"/><Relationship Id="rId6" Type="http://schemas.openxmlformats.org/officeDocument/2006/relationships/hyperlink" Target="https://jobs.micro1.ai/post/833e0bd5-9b5a-44af-a173-bd62210a68f5?referralCode=d3605f74-92f0-4f1c-b8e2-4ab757bffc26" TargetMode="External"/><Relationship Id="rId7" Type="http://schemas.openxmlformats.org/officeDocument/2006/relationships/hyperlink" Target="https://jobs.micro1.ai/post/f893f8d3-c965-4e92-860d-f534d8b54884?referralCode=d3605f74-92f0-4f1c-b8e2-4ab757bffc26" TargetMode="External"/><Relationship Id="rId8" Type="http://schemas.openxmlformats.org/officeDocument/2006/relationships/hyperlink" Target="https://jobs.micro1.ai/post/de78ac45-2d2c-44f2-ae53-a0f6cd617a17?referralCode=d3605f74-92f0-4f1c-b8e2-4ab757bffc26" TargetMode="External"/><Relationship Id="rId9" Type="http://schemas.openxmlformats.org/officeDocument/2006/relationships/hyperlink" Target="https://jobs.micro1.ai/post/08cc8487-57fd-40a2-bf0b-5447a71f876e?referralCode=d3605f74-92f0-4f1c-b8e2-4ab757bffc26" TargetMode="External"/><Relationship Id="rId10" Type="http://schemas.openxmlformats.org/officeDocument/2006/relationships/hyperlink" Target="https://jobs.micro1.ai/post/a4d53b22-5a99-42c4-b0ed-6e6f41d74ee5?referralCode=d3605f74-92f0-4f1c-b8e2-4ab757bffc26" TargetMode="External"/><Relationship Id="rId1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COUNTIF('Customer Support'!$E$5:$E$6,"Open*")</f>
        <v>1</v>
      </c>
      <c r="C5" s="5" t="n">
        <f aca="false">COUNTIF('Customer Support'!$E$5:$E$6,"Check*")</f>
        <v>0</v>
      </c>
      <c r="D5" s="5" t="n">
        <f aca="false">B5+C5</f>
        <v>1</v>
      </c>
    </row>
    <row r="6" customFormat="false" ht="15" hidden="false" customHeight="false" outlineLevel="0" collapsed="false">
      <c r="A6" s="4" t="s">
        <v>7</v>
      </c>
      <c r="B6" s="5" t="n">
        <f aca="false">COUNTIF('VA &amp; Admin'!$E$5:$E$12,"Open*")</f>
        <v>7</v>
      </c>
      <c r="C6" s="5" t="n">
        <f aca="false">COUNTIF('VA &amp; Admin'!$E$5:$E$12,"Check*")</f>
        <v>0</v>
      </c>
      <c r="D6" s="5" t="n">
        <f aca="false">B6+C6</f>
        <v>7</v>
      </c>
    </row>
    <row r="7" customFormat="false" ht="15" hidden="false" customHeight="false" outlineLevel="0" collapsed="false">
      <c r="A7" s="4" t="s">
        <v>8</v>
      </c>
      <c r="B7" s="5" t="n">
        <f aca="false">COUNTIF('HR &amp; Legal'!$E$5:$E$7,"Open*")</f>
        <v>2</v>
      </c>
      <c r="C7" s="5" t="n">
        <f aca="false">COUNTIF('HR &amp; Legal'!$E$5:$E$7,"Check*")</f>
        <v>0</v>
      </c>
      <c r="D7" s="5" t="n">
        <f aca="false">B7+C7</f>
        <v>2</v>
      </c>
    </row>
    <row r="8" customFormat="false" ht="15" hidden="false" customHeight="false" outlineLevel="0" collapsed="false">
      <c r="A8" s="4" t="s">
        <v>9</v>
      </c>
      <c r="B8" s="5" t="n">
        <f aca="false">COUNTIF(Sales!$E$5:$E$8,"Open*")</f>
        <v>1</v>
      </c>
      <c r="C8" s="5" t="n">
        <f aca="false">COUNTIF(Sales!$E$5:$E$8,"Check*")</f>
        <v>1</v>
      </c>
      <c r="D8" s="5" t="n">
        <f aca="false">B8+C8</f>
        <v>2</v>
      </c>
    </row>
    <row r="9" customFormat="false" ht="15" hidden="false" customHeight="false" outlineLevel="0" collapsed="false">
      <c r="A9" s="4" t="s">
        <v>10</v>
      </c>
      <c r="B9" s="5" t="n">
        <f aca="false">COUNTIF('Marketing &amp; Creative'!$E$5:$E$6,"Open*")</f>
        <v>1</v>
      </c>
      <c r="C9" s="5" t="n">
        <f aca="false">COUNTIF('Marketing &amp; Creative'!$E$5:$E$6,"Check*")</f>
        <v>0</v>
      </c>
      <c r="D9" s="5" t="n">
        <f aca="false">B9+C9</f>
        <v>1</v>
      </c>
    </row>
    <row r="10" customFormat="false" ht="15" hidden="false" customHeight="false" outlineLevel="0" collapsed="false">
      <c r="A10" s="4" t="s">
        <v>11</v>
      </c>
      <c r="B10" s="5" t="n">
        <f aca="false">COUNTIF('Tech &amp; Operations'!$E$5:$E$11,"Open*")</f>
        <v>3</v>
      </c>
      <c r="C10" s="5" t="n">
        <f aca="false">COUNTIF('Tech &amp; Operations'!$E$5:$E$11,"Check*")</f>
        <v>3</v>
      </c>
      <c r="D10" s="5" t="n">
        <f aca="false">B10+C10</f>
        <v>6</v>
      </c>
    </row>
    <row r="11" customFormat="false" ht="15" hidden="false" customHeight="false" outlineLevel="0" collapsed="false">
      <c r="A11" s="4" t="s">
        <v>12</v>
      </c>
      <c r="B11" s="5" t="n">
        <f aca="false">COUNTA('micro1 Referral'!$G$5:$G$17)</f>
        <v>10</v>
      </c>
      <c r="C11" s="0" t="n">
        <v>0</v>
      </c>
      <c r="D11" s="5" t="n">
        <f aca="false">B11+C11</f>
        <v>10</v>
      </c>
    </row>
    <row r="12" customFormat="false" ht="15" hidden="false" customHeight="false" outlineLevel="0" collapsed="false">
      <c r="A12" s="6" t="s">
        <v>5</v>
      </c>
      <c r="B12" s="6" t="n">
        <f aca="false">SUM(B5:B11)</f>
        <v>25</v>
      </c>
      <c r="C12" s="6" t="n">
        <f aca="false">SUM(C5:C11)</f>
        <v>4</v>
      </c>
      <c r="D12" s="6" t="n">
        <f aca="false">SUM(D5:D11)</f>
        <v>29</v>
      </c>
    </row>
    <row r="14" customFormat="false" ht="15" hidden="false" customHeight="false" outlineLevel="0" collapsed="false">
      <c r="A14" s="7" t="s">
        <v>13</v>
      </c>
    </row>
    <row r="15" customFormat="false" ht="43.5" hidden="false" customHeight="true" outlineLevel="0" collapsed="false">
      <c r="A15" s="8" t="s">
        <v>14</v>
      </c>
      <c r="B15" s="8"/>
      <c r="C15" s="8"/>
      <c r="D15" s="8"/>
    </row>
    <row r="16" customFormat="false" ht="43.5" hidden="false" customHeight="true" outlineLevel="0" collapsed="false">
      <c r="A16" s="8" t="s">
        <v>15</v>
      </c>
      <c r="B16" s="8"/>
      <c r="C16" s="8"/>
      <c r="D16" s="8"/>
    </row>
    <row r="17" customFormat="false" ht="43.5" hidden="false" customHeight="true" outlineLevel="0" collapsed="false">
      <c r="A17" s="8" t="s">
        <v>16</v>
      </c>
      <c r="B17" s="8"/>
      <c r="C17" s="8"/>
      <c r="D17" s="8"/>
    </row>
    <row r="18" customFormat="false" ht="43.5" hidden="false" customHeight="true" outlineLevel="0" collapsed="false">
      <c r="A18" s="8" t="s">
        <v>17</v>
      </c>
      <c r="B18" s="8"/>
      <c r="C18" s="8"/>
      <c r="D18" s="8"/>
    </row>
    <row r="19" customFormat="false" ht="43.5" hidden="false" customHeight="true" outlineLevel="0" collapsed="false">
      <c r="A19" s="8" t="s">
        <v>18</v>
      </c>
      <c r="B19" s="8"/>
      <c r="C19" s="8"/>
      <c r="D19" s="8"/>
    </row>
  </sheetData>
  <mergeCells count="5">
    <mergeCell ref="A15:D15"/>
    <mergeCell ref="A16:D16"/>
    <mergeCell ref="A17:D17"/>
    <mergeCell ref="A18:D18"/>
    <mergeCell ref="A19:D19"/>
  </mergeCells>
  <hyperlinks>
    <hyperlink ref="A5" r:id="rId1" location="'Customer%20Support'!A1" display="Customer Support"/>
    <hyperlink ref="A6" r:id="rId2" location="'VA%20&amp;%20Admin'!A1" display="VA &amp; Admin"/>
    <hyperlink ref="A7" r:id="rId3" location="'HR%20&amp;%20Legal'!A1" display="HR &amp; Legal"/>
    <hyperlink ref="A8" r:id="rId4" location="'Sales'!A1" display="Sales"/>
    <hyperlink ref="A9" r:id="rId5" location="'Marketing%20&amp;%20Creative'!A1" display="Marketing &amp; Creative"/>
    <hyperlink ref="A10" r:id="rId6" location="'Tech%20&amp;%20Operations'!A1" display="Tech &amp; Operations"/>
    <hyperlink ref="A11" r:id="rId7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19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35.05" hidden="false" customHeight="false" outlineLevel="0" collapsed="false">
      <c r="A6" s="13" t="n">
        <v>1</v>
      </c>
      <c r="B6" s="14" t="s">
        <v>34</v>
      </c>
      <c r="C6" s="14" t="s">
        <v>35</v>
      </c>
      <c r="D6" s="13" t="s">
        <v>36</v>
      </c>
      <c r="E6" s="13" t="s">
        <v>3</v>
      </c>
      <c r="F6" s="13" t="s">
        <v>37</v>
      </c>
      <c r="G6" s="14" t="s">
        <v>38</v>
      </c>
      <c r="H6" s="14" t="s">
        <v>39</v>
      </c>
      <c r="I6" s="13" t="s">
        <v>40</v>
      </c>
      <c r="J6" s="13" t="s">
        <v>41</v>
      </c>
      <c r="K6" s="15" t="s">
        <v>42</v>
      </c>
      <c r="L6" s="14" t="s">
        <v>43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44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35.05" hidden="false" customHeight="false" outlineLevel="0" collapsed="false">
      <c r="A6" s="13" t="n">
        <v>1</v>
      </c>
      <c r="B6" s="14" t="s">
        <v>45</v>
      </c>
      <c r="C6" s="14" t="s">
        <v>46</v>
      </c>
      <c r="D6" s="13" t="s">
        <v>47</v>
      </c>
      <c r="E6" s="13" t="s">
        <v>3</v>
      </c>
      <c r="F6" s="13" t="s">
        <v>48</v>
      </c>
      <c r="G6" s="14" t="s">
        <v>38</v>
      </c>
      <c r="H6" s="14" t="s">
        <v>49</v>
      </c>
      <c r="I6" s="13" t="s">
        <v>50</v>
      </c>
      <c r="J6" s="13" t="s">
        <v>51</v>
      </c>
      <c r="K6" s="15" t="s">
        <v>42</v>
      </c>
      <c r="L6" s="14"/>
    </row>
    <row r="7" customFormat="false" ht="35.05" hidden="false" customHeight="false" outlineLevel="0" collapsed="false">
      <c r="A7" s="13" t="n">
        <v>2</v>
      </c>
      <c r="B7" s="14" t="s">
        <v>45</v>
      </c>
      <c r="C7" s="14" t="s">
        <v>52</v>
      </c>
      <c r="D7" s="13" t="s">
        <v>47</v>
      </c>
      <c r="E7" s="13" t="s">
        <v>3</v>
      </c>
      <c r="F7" s="13" t="s">
        <v>48</v>
      </c>
      <c r="G7" s="14" t="s">
        <v>38</v>
      </c>
      <c r="H7" s="14" t="s">
        <v>53</v>
      </c>
      <c r="I7" s="13" t="s">
        <v>50</v>
      </c>
      <c r="J7" s="13" t="s">
        <v>41</v>
      </c>
      <c r="K7" s="15" t="s">
        <v>42</v>
      </c>
      <c r="L7" s="14"/>
    </row>
    <row r="8" customFormat="false" ht="57.45" hidden="false" customHeight="false" outlineLevel="0" collapsed="false">
      <c r="A8" s="13" t="n">
        <v>3</v>
      </c>
      <c r="B8" s="14" t="s">
        <v>45</v>
      </c>
      <c r="C8" s="14" t="s">
        <v>54</v>
      </c>
      <c r="D8" s="13" t="s">
        <v>47</v>
      </c>
      <c r="E8" s="13" t="s">
        <v>3</v>
      </c>
      <c r="F8" s="13" t="s">
        <v>48</v>
      </c>
      <c r="G8" s="14" t="s">
        <v>38</v>
      </c>
      <c r="H8" s="14" t="s">
        <v>55</v>
      </c>
      <c r="I8" s="13" t="s">
        <v>50</v>
      </c>
      <c r="J8" s="13" t="s">
        <v>51</v>
      </c>
      <c r="K8" s="15" t="s">
        <v>42</v>
      </c>
      <c r="L8" s="14"/>
    </row>
    <row r="9" customFormat="false" ht="35.05" hidden="false" customHeight="false" outlineLevel="0" collapsed="false">
      <c r="A9" s="13" t="n">
        <v>4</v>
      </c>
      <c r="B9" s="14" t="s">
        <v>45</v>
      </c>
      <c r="C9" s="14" t="s">
        <v>56</v>
      </c>
      <c r="D9" s="13" t="s">
        <v>47</v>
      </c>
      <c r="E9" s="13" t="s">
        <v>3</v>
      </c>
      <c r="F9" s="13" t="s">
        <v>48</v>
      </c>
      <c r="G9" s="14" t="s">
        <v>38</v>
      </c>
      <c r="H9" s="14" t="s">
        <v>57</v>
      </c>
      <c r="I9" s="13" t="s">
        <v>50</v>
      </c>
      <c r="J9" s="13" t="s">
        <v>51</v>
      </c>
      <c r="K9" s="15" t="s">
        <v>42</v>
      </c>
      <c r="L9" s="14"/>
    </row>
    <row r="10" customFormat="false" ht="46.25" hidden="false" customHeight="false" outlineLevel="0" collapsed="false">
      <c r="A10" s="13" t="n">
        <v>5</v>
      </c>
      <c r="B10" s="14" t="s">
        <v>45</v>
      </c>
      <c r="C10" s="14" t="s">
        <v>58</v>
      </c>
      <c r="D10" s="13" t="s">
        <v>47</v>
      </c>
      <c r="E10" s="13" t="s">
        <v>3</v>
      </c>
      <c r="F10" s="13" t="s">
        <v>48</v>
      </c>
      <c r="G10" s="14" t="s">
        <v>38</v>
      </c>
      <c r="H10" s="14" t="s">
        <v>59</v>
      </c>
      <c r="I10" s="13" t="s">
        <v>50</v>
      </c>
      <c r="J10" s="13" t="s">
        <v>41</v>
      </c>
      <c r="K10" s="15" t="s">
        <v>42</v>
      </c>
      <c r="L10" s="14"/>
    </row>
    <row r="11" customFormat="false" ht="35.05" hidden="false" customHeight="false" outlineLevel="0" collapsed="false">
      <c r="A11" s="13" t="n">
        <v>6</v>
      </c>
      <c r="B11" s="14" t="s">
        <v>45</v>
      </c>
      <c r="C11" s="14" t="s">
        <v>60</v>
      </c>
      <c r="D11" s="13" t="s">
        <v>47</v>
      </c>
      <c r="E11" s="13" t="s">
        <v>3</v>
      </c>
      <c r="F11" s="13" t="s">
        <v>48</v>
      </c>
      <c r="G11" s="14" t="s">
        <v>38</v>
      </c>
      <c r="H11" s="14" t="s">
        <v>61</v>
      </c>
      <c r="I11" s="13" t="s">
        <v>50</v>
      </c>
      <c r="J11" s="13" t="s">
        <v>51</v>
      </c>
      <c r="K11" s="15" t="s">
        <v>42</v>
      </c>
      <c r="L11" s="14"/>
    </row>
    <row r="12" customFormat="false" ht="35.05" hidden="false" customHeight="false" outlineLevel="0" collapsed="false">
      <c r="A12" s="13" t="n">
        <v>7</v>
      </c>
      <c r="B12" s="14" t="s">
        <v>45</v>
      </c>
      <c r="C12" s="14" t="s">
        <v>62</v>
      </c>
      <c r="D12" s="13" t="s">
        <v>47</v>
      </c>
      <c r="E12" s="13" t="s">
        <v>3</v>
      </c>
      <c r="F12" s="13" t="s">
        <v>48</v>
      </c>
      <c r="G12" s="14" t="s">
        <v>38</v>
      </c>
      <c r="H12" s="14" t="s">
        <v>63</v>
      </c>
      <c r="I12" s="13" t="s">
        <v>50</v>
      </c>
      <c r="J12" s="13" t="s">
        <v>41</v>
      </c>
      <c r="K12" s="15" t="s">
        <v>42</v>
      </c>
      <c r="L12" s="14"/>
    </row>
  </sheetData>
  <autoFilter ref="A4:L12"/>
  <conditionalFormatting sqref="E5:E12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1" r:id="rId6" display="Apply ↗"/>
    <hyperlink ref="K12" r:id="rId7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64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65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23.85" hidden="false" customHeight="false" outlineLevel="0" collapsed="false">
      <c r="A6" s="13" t="n">
        <v>1</v>
      </c>
      <c r="B6" s="14" t="s">
        <v>66</v>
      </c>
      <c r="C6" s="14" t="s">
        <v>67</v>
      </c>
      <c r="D6" s="13" t="s">
        <v>68</v>
      </c>
      <c r="E6" s="13" t="s">
        <v>3</v>
      </c>
      <c r="F6" s="13" t="s">
        <v>48</v>
      </c>
      <c r="G6" s="14" t="s">
        <v>69</v>
      </c>
      <c r="H6" s="14" t="s">
        <v>70</v>
      </c>
      <c r="I6" s="13" t="s">
        <v>71</v>
      </c>
      <c r="J6" s="13" t="s">
        <v>41</v>
      </c>
      <c r="K6" s="15" t="s">
        <v>42</v>
      </c>
      <c r="L6" s="14" t="s">
        <v>72</v>
      </c>
    </row>
    <row r="7" customFormat="false" ht="57.45" hidden="false" customHeight="false" outlineLevel="0" collapsed="false">
      <c r="A7" s="13" t="n">
        <v>2</v>
      </c>
      <c r="B7" s="14" t="s">
        <v>66</v>
      </c>
      <c r="C7" s="14" t="s">
        <v>73</v>
      </c>
      <c r="D7" s="13" t="s">
        <v>68</v>
      </c>
      <c r="E7" s="13" t="s">
        <v>3</v>
      </c>
      <c r="F7" s="13" t="s">
        <v>48</v>
      </c>
      <c r="G7" s="14" t="s">
        <v>74</v>
      </c>
      <c r="H7" s="14" t="s">
        <v>75</v>
      </c>
      <c r="I7" s="13" t="s">
        <v>71</v>
      </c>
      <c r="J7" s="13" t="s">
        <v>51</v>
      </c>
      <c r="K7" s="15" t="s">
        <v>42</v>
      </c>
      <c r="L7" s="14" t="s">
        <v>72</v>
      </c>
    </row>
  </sheetData>
  <autoFilter ref="A4:L7"/>
  <conditionalFormatting sqref="E5:E7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76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23.85" hidden="false" customHeight="false" outlineLevel="0" collapsed="false">
      <c r="A6" s="13" t="n">
        <v>1</v>
      </c>
      <c r="B6" s="14" t="s">
        <v>34</v>
      </c>
      <c r="C6" s="14" t="s">
        <v>77</v>
      </c>
      <c r="D6" s="13" t="s">
        <v>78</v>
      </c>
      <c r="E6" s="13" t="s">
        <v>3</v>
      </c>
      <c r="F6" s="13" t="s">
        <v>48</v>
      </c>
      <c r="G6" s="14" t="s">
        <v>38</v>
      </c>
      <c r="H6" s="14" t="s">
        <v>79</v>
      </c>
      <c r="I6" s="13" t="s">
        <v>40</v>
      </c>
      <c r="J6" s="13" t="s">
        <v>51</v>
      </c>
      <c r="K6" s="15" t="s">
        <v>42</v>
      </c>
      <c r="L6" s="14" t="s">
        <v>43</v>
      </c>
    </row>
    <row r="7" customFormat="false" ht="15" hidden="false" customHeight="false" outlineLevel="0" collapsed="false">
      <c r="A7" s="11" t="s">
        <v>65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customFormat="false" ht="46.25" hidden="false" customHeight="false" outlineLevel="0" collapsed="false">
      <c r="A8" s="13" t="n">
        <v>2</v>
      </c>
      <c r="B8" s="14" t="s">
        <v>80</v>
      </c>
      <c r="C8" s="14" t="s">
        <v>81</v>
      </c>
      <c r="D8" s="13" t="s">
        <v>82</v>
      </c>
      <c r="E8" s="13" t="s">
        <v>83</v>
      </c>
      <c r="F8" s="13" t="s">
        <v>84</v>
      </c>
      <c r="G8" s="14" t="s">
        <v>85</v>
      </c>
      <c r="H8" s="14" t="s">
        <v>86</v>
      </c>
      <c r="I8" s="13" t="s">
        <v>87</v>
      </c>
      <c r="J8" s="13" t="s">
        <v>51</v>
      </c>
      <c r="K8" s="15" t="s">
        <v>42</v>
      </c>
      <c r="L8" s="14" t="s">
        <v>88</v>
      </c>
    </row>
  </sheetData>
  <autoFilter ref="A4:L8"/>
  <conditionalFormatting sqref="E5:E8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8" r:id="rId2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89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90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35.05" hidden="false" customHeight="false" outlineLevel="0" collapsed="false">
      <c r="A6" s="13" t="n">
        <v>1</v>
      </c>
      <c r="B6" s="14" t="s">
        <v>91</v>
      </c>
      <c r="C6" s="14" t="s">
        <v>92</v>
      </c>
      <c r="D6" s="13" t="s">
        <v>93</v>
      </c>
      <c r="E6" s="13" t="s">
        <v>3</v>
      </c>
      <c r="F6" s="13" t="s">
        <v>94</v>
      </c>
      <c r="G6" s="14" t="s">
        <v>95</v>
      </c>
      <c r="H6" s="14" t="s">
        <v>96</v>
      </c>
      <c r="I6" s="13" t="s">
        <v>97</v>
      </c>
      <c r="J6" s="13" t="s">
        <v>51</v>
      </c>
      <c r="K6" s="15" t="s">
        <v>42</v>
      </c>
      <c r="L6" s="14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98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57.45" hidden="false" customHeight="false" outlineLevel="0" collapsed="false">
      <c r="A6" s="13" t="n">
        <v>1</v>
      </c>
      <c r="B6" s="14" t="s">
        <v>99</v>
      </c>
      <c r="C6" s="14" t="s">
        <v>100</v>
      </c>
      <c r="D6" s="13" t="s">
        <v>101</v>
      </c>
      <c r="E6" s="13" t="s">
        <v>3</v>
      </c>
      <c r="F6" s="13" t="s">
        <v>48</v>
      </c>
      <c r="G6" s="14" t="s">
        <v>38</v>
      </c>
      <c r="H6" s="14" t="s">
        <v>102</v>
      </c>
      <c r="I6" s="13" t="s">
        <v>87</v>
      </c>
      <c r="J6" s="13" t="s">
        <v>41</v>
      </c>
      <c r="K6" s="15" t="s">
        <v>42</v>
      </c>
      <c r="L6" s="14"/>
    </row>
    <row r="7" customFormat="false" ht="35.05" hidden="false" customHeight="false" outlineLevel="0" collapsed="false">
      <c r="A7" s="13" t="n">
        <v>2</v>
      </c>
      <c r="B7" s="14" t="s">
        <v>103</v>
      </c>
      <c r="C7" s="14" t="s">
        <v>104</v>
      </c>
      <c r="D7" s="13" t="s">
        <v>105</v>
      </c>
      <c r="E7" s="13" t="s">
        <v>106</v>
      </c>
      <c r="F7" s="13" t="s">
        <v>48</v>
      </c>
      <c r="G7" s="14" t="s">
        <v>38</v>
      </c>
      <c r="H7" s="14" t="s">
        <v>107</v>
      </c>
      <c r="I7" s="13" t="s">
        <v>97</v>
      </c>
      <c r="J7" s="13" t="s">
        <v>51</v>
      </c>
      <c r="K7" s="15" t="s">
        <v>42</v>
      </c>
      <c r="L7" s="14" t="s">
        <v>108</v>
      </c>
    </row>
    <row r="8" customFormat="false" ht="35.05" hidden="false" customHeight="false" outlineLevel="0" collapsed="false">
      <c r="A8" s="13" t="n">
        <v>3</v>
      </c>
      <c r="B8" s="14" t="s">
        <v>103</v>
      </c>
      <c r="C8" s="14" t="s">
        <v>109</v>
      </c>
      <c r="D8" s="13" t="s">
        <v>105</v>
      </c>
      <c r="E8" s="13" t="s">
        <v>106</v>
      </c>
      <c r="F8" s="13" t="s">
        <v>48</v>
      </c>
      <c r="G8" s="14" t="s">
        <v>38</v>
      </c>
      <c r="H8" s="14" t="s">
        <v>110</v>
      </c>
      <c r="I8" s="13" t="s">
        <v>97</v>
      </c>
      <c r="J8" s="13" t="s">
        <v>51</v>
      </c>
      <c r="K8" s="15" t="s">
        <v>42</v>
      </c>
      <c r="L8" s="14" t="s">
        <v>108</v>
      </c>
    </row>
    <row r="9" customFormat="false" ht="46.25" hidden="false" customHeight="false" outlineLevel="0" collapsed="false">
      <c r="A9" s="13" t="n">
        <v>4</v>
      </c>
      <c r="B9" s="14" t="s">
        <v>103</v>
      </c>
      <c r="C9" s="14" t="s">
        <v>111</v>
      </c>
      <c r="D9" s="13" t="s">
        <v>105</v>
      </c>
      <c r="E9" s="13" t="s">
        <v>106</v>
      </c>
      <c r="F9" s="13" t="s">
        <v>112</v>
      </c>
      <c r="G9" s="14" t="s">
        <v>38</v>
      </c>
      <c r="H9" s="14" t="s">
        <v>113</v>
      </c>
      <c r="I9" s="13" t="s">
        <v>97</v>
      </c>
      <c r="J9" s="13" t="s">
        <v>41</v>
      </c>
      <c r="K9" s="15" t="s">
        <v>42</v>
      </c>
      <c r="L9" s="14" t="s">
        <v>108</v>
      </c>
    </row>
    <row r="10" customFormat="false" ht="57.45" hidden="false" customHeight="false" outlineLevel="0" collapsed="false">
      <c r="A10" s="13" t="n">
        <v>5</v>
      </c>
      <c r="B10" s="14" t="s">
        <v>45</v>
      </c>
      <c r="C10" s="14" t="s">
        <v>114</v>
      </c>
      <c r="D10" s="13" t="s">
        <v>115</v>
      </c>
      <c r="E10" s="13" t="s">
        <v>3</v>
      </c>
      <c r="F10" s="13" t="s">
        <v>116</v>
      </c>
      <c r="G10" s="14" t="s">
        <v>117</v>
      </c>
      <c r="H10" s="14" t="s">
        <v>118</v>
      </c>
      <c r="I10" s="13" t="s">
        <v>50</v>
      </c>
      <c r="J10" s="13" t="s">
        <v>51</v>
      </c>
      <c r="K10" s="15" t="s">
        <v>42</v>
      </c>
      <c r="L10" s="14"/>
    </row>
    <row r="11" customFormat="false" ht="23.85" hidden="false" customHeight="false" outlineLevel="0" collapsed="false">
      <c r="A11" s="13" t="n">
        <v>6</v>
      </c>
      <c r="B11" s="14" t="s">
        <v>34</v>
      </c>
      <c r="C11" s="14" t="s">
        <v>119</v>
      </c>
      <c r="D11" s="13" t="s">
        <v>78</v>
      </c>
      <c r="E11" s="13" t="s">
        <v>3</v>
      </c>
      <c r="F11" s="13" t="s">
        <v>48</v>
      </c>
      <c r="G11" s="14" t="s">
        <v>38</v>
      </c>
      <c r="H11" s="14" t="s">
        <v>120</v>
      </c>
      <c r="I11" s="13" t="s">
        <v>40</v>
      </c>
      <c r="J11" s="13" t="s">
        <v>51</v>
      </c>
      <c r="K11" s="15" t="s">
        <v>42</v>
      </c>
      <c r="L11" s="14" t="s">
        <v>43</v>
      </c>
    </row>
  </sheetData>
  <autoFilter ref="A4:L11"/>
  <conditionalFormatting sqref="E5:E11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1" r:id="rId6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9" t="s">
        <v>121</v>
      </c>
    </row>
    <row r="2" customFormat="false" ht="15" hidden="false" customHeight="false" outlineLevel="0" collapsed="false">
      <c r="A2" s="10" t="s">
        <v>122</v>
      </c>
    </row>
    <row r="4" customFormat="false" ht="25.5" hidden="false" customHeight="true" outlineLevel="0" collapsed="false">
      <c r="A4" s="3" t="s">
        <v>21</v>
      </c>
      <c r="B4" s="3" t="s">
        <v>123</v>
      </c>
      <c r="C4" s="3" t="s">
        <v>23</v>
      </c>
      <c r="D4" s="3" t="s">
        <v>27</v>
      </c>
      <c r="E4" s="3" t="s">
        <v>124</v>
      </c>
      <c r="F4" s="3" t="s">
        <v>30</v>
      </c>
      <c r="G4" s="3" t="s">
        <v>125</v>
      </c>
      <c r="H4" s="3" t="s">
        <v>32</v>
      </c>
    </row>
    <row r="5" customFormat="false" ht="15" hidden="false" customHeight="false" outlineLevel="0" collapsed="false">
      <c r="A5" s="11" t="s">
        <v>126</v>
      </c>
      <c r="B5" s="12"/>
      <c r="C5" s="12"/>
      <c r="D5" s="12"/>
      <c r="E5" s="12"/>
      <c r="F5" s="12"/>
      <c r="G5" s="12"/>
      <c r="H5" s="12"/>
    </row>
    <row r="6" customFormat="false" ht="23.85" hidden="false" customHeight="false" outlineLevel="0" collapsed="false">
      <c r="A6" s="13" t="n">
        <v>1</v>
      </c>
      <c r="B6" s="13" t="s">
        <v>127</v>
      </c>
      <c r="C6" s="14" t="s">
        <v>128</v>
      </c>
      <c r="D6" s="13" t="s">
        <v>129</v>
      </c>
      <c r="E6" s="13" t="s">
        <v>130</v>
      </c>
      <c r="F6" s="13" t="s">
        <v>41</v>
      </c>
      <c r="G6" s="15" t="s">
        <v>42</v>
      </c>
      <c r="H6" s="14" t="s">
        <v>131</v>
      </c>
    </row>
    <row r="7" customFormat="false" ht="15" hidden="false" customHeight="false" outlineLevel="0" collapsed="false">
      <c r="A7" s="13" t="n">
        <v>2</v>
      </c>
      <c r="B7" s="13" t="s">
        <v>127</v>
      </c>
      <c r="C7" s="14" t="s">
        <v>132</v>
      </c>
      <c r="D7" s="13" t="s">
        <v>129</v>
      </c>
      <c r="E7" s="13" t="s">
        <v>130</v>
      </c>
      <c r="F7" s="13" t="s">
        <v>41</v>
      </c>
      <c r="G7" s="15" t="s">
        <v>42</v>
      </c>
      <c r="H7" s="14" t="s">
        <v>133</v>
      </c>
    </row>
    <row r="8" customFormat="false" ht="15" hidden="false" customHeight="false" outlineLevel="0" collapsed="false">
      <c r="A8" s="13" t="n">
        <v>3</v>
      </c>
      <c r="B8" s="13" t="s">
        <v>127</v>
      </c>
      <c r="C8" s="14" t="s">
        <v>134</v>
      </c>
      <c r="D8" s="13" t="s">
        <v>129</v>
      </c>
      <c r="E8" s="13" t="s">
        <v>130</v>
      </c>
      <c r="F8" s="13" t="s">
        <v>41</v>
      </c>
      <c r="G8" s="15" t="s">
        <v>42</v>
      </c>
      <c r="H8" s="14" t="s">
        <v>135</v>
      </c>
    </row>
    <row r="9" customFormat="false" ht="23.85" hidden="false" customHeight="false" outlineLevel="0" collapsed="false">
      <c r="A9" s="13" t="n">
        <v>4</v>
      </c>
      <c r="B9" s="13" t="s">
        <v>127</v>
      </c>
      <c r="C9" s="14" t="s">
        <v>136</v>
      </c>
      <c r="D9" s="13" t="s">
        <v>129</v>
      </c>
      <c r="E9" s="13" t="s">
        <v>130</v>
      </c>
      <c r="F9" s="13" t="s">
        <v>41</v>
      </c>
      <c r="G9" s="15" t="s">
        <v>42</v>
      </c>
      <c r="H9" s="14" t="s">
        <v>137</v>
      </c>
    </row>
    <row r="10" customFormat="false" ht="15" hidden="false" customHeight="false" outlineLevel="0" collapsed="false">
      <c r="A10" s="11" t="s">
        <v>138</v>
      </c>
      <c r="B10" s="12"/>
      <c r="C10" s="12"/>
      <c r="D10" s="12"/>
      <c r="E10" s="12"/>
      <c r="F10" s="12"/>
      <c r="G10" s="12"/>
      <c r="H10" s="12"/>
    </row>
    <row r="11" customFormat="false" ht="23.85" hidden="false" customHeight="false" outlineLevel="0" collapsed="false">
      <c r="A11" s="13" t="n">
        <v>5</v>
      </c>
      <c r="B11" s="13" t="s">
        <v>139</v>
      </c>
      <c r="C11" s="14" t="s">
        <v>140</v>
      </c>
      <c r="D11" s="13" t="s">
        <v>129</v>
      </c>
      <c r="E11" s="13" t="s">
        <v>130</v>
      </c>
      <c r="F11" s="13" t="s">
        <v>41</v>
      </c>
      <c r="G11" s="15" t="s">
        <v>42</v>
      </c>
      <c r="H11" s="14" t="s">
        <v>141</v>
      </c>
    </row>
    <row r="12" customFormat="false" ht="23.85" hidden="false" customHeight="false" outlineLevel="0" collapsed="false">
      <c r="A12" s="13" t="n">
        <v>6</v>
      </c>
      <c r="B12" s="13" t="s">
        <v>139</v>
      </c>
      <c r="C12" s="14" t="s">
        <v>142</v>
      </c>
      <c r="D12" s="13" t="s">
        <v>129</v>
      </c>
      <c r="E12" s="13" t="s">
        <v>130</v>
      </c>
      <c r="F12" s="13" t="s">
        <v>41</v>
      </c>
      <c r="G12" s="15" t="s">
        <v>42</v>
      </c>
      <c r="H12" s="14" t="s">
        <v>143</v>
      </c>
    </row>
    <row r="13" customFormat="false" ht="15" hidden="false" customHeight="false" outlineLevel="0" collapsed="false">
      <c r="A13" s="13" t="n">
        <v>7</v>
      </c>
      <c r="B13" s="13" t="s">
        <v>139</v>
      </c>
      <c r="C13" s="14" t="s">
        <v>144</v>
      </c>
      <c r="D13" s="13" t="s">
        <v>129</v>
      </c>
      <c r="E13" s="13" t="s">
        <v>130</v>
      </c>
      <c r="F13" s="13" t="s">
        <v>41</v>
      </c>
      <c r="G13" s="15" t="s">
        <v>42</v>
      </c>
      <c r="H13" s="14" t="s">
        <v>145</v>
      </c>
    </row>
    <row r="14" customFormat="false" ht="23.85" hidden="false" customHeight="false" outlineLevel="0" collapsed="false">
      <c r="A14" s="13" t="n">
        <v>8</v>
      </c>
      <c r="B14" s="13" t="s">
        <v>139</v>
      </c>
      <c r="C14" s="14" t="s">
        <v>146</v>
      </c>
      <c r="D14" s="13" t="s">
        <v>129</v>
      </c>
      <c r="E14" s="13" t="s">
        <v>130</v>
      </c>
      <c r="F14" s="13" t="s">
        <v>41</v>
      </c>
      <c r="G14" s="15" t="s">
        <v>42</v>
      </c>
      <c r="H14" s="14" t="s">
        <v>147</v>
      </c>
    </row>
    <row r="15" customFormat="false" ht="15" hidden="false" customHeight="false" outlineLevel="0" collapsed="false">
      <c r="A15" s="13" t="n">
        <v>9</v>
      </c>
      <c r="B15" s="13" t="s">
        <v>139</v>
      </c>
      <c r="C15" s="14" t="s">
        <v>148</v>
      </c>
      <c r="D15" s="13" t="s">
        <v>129</v>
      </c>
      <c r="E15" s="13" t="s">
        <v>130</v>
      </c>
      <c r="F15" s="13" t="s">
        <v>41</v>
      </c>
      <c r="G15" s="15" t="s">
        <v>42</v>
      </c>
      <c r="H15" s="14" t="s">
        <v>149</v>
      </c>
    </row>
    <row r="16" customFormat="false" ht="15" hidden="false" customHeight="false" outlineLevel="0" collapsed="false">
      <c r="A16" s="11" t="s">
        <v>150</v>
      </c>
      <c r="B16" s="12"/>
      <c r="C16" s="12"/>
      <c r="D16" s="12"/>
      <c r="E16" s="12"/>
      <c r="F16" s="12"/>
      <c r="G16" s="12"/>
      <c r="H16" s="12"/>
    </row>
    <row r="17" customFormat="false" ht="23.85" hidden="false" customHeight="false" outlineLevel="0" collapsed="false">
      <c r="A17" s="13" t="n">
        <v>10</v>
      </c>
      <c r="B17" s="13" t="s">
        <v>151</v>
      </c>
      <c r="C17" s="14" t="s">
        <v>152</v>
      </c>
      <c r="D17" s="13" t="s">
        <v>153</v>
      </c>
      <c r="E17" s="13" t="s">
        <v>154</v>
      </c>
      <c r="F17" s="13" t="s">
        <v>41</v>
      </c>
      <c r="G17" s="15" t="s">
        <v>42</v>
      </c>
      <c r="H17" s="14" t="s">
        <v>155</v>
      </c>
    </row>
  </sheetData>
  <autoFilter ref="A4:H17"/>
  <hyperlinks>
    <hyperlink ref="G6" r:id="rId1" display="Apply ↗"/>
    <hyperlink ref="G7" r:id="rId2" display="Apply ↗"/>
    <hyperlink ref="G8" r:id="rId3" display="Apply ↗"/>
    <hyperlink ref="G9" r:id="rId4" display="Apply ↗"/>
    <hyperlink ref="G11" r:id="rId5" display="Apply ↗"/>
    <hyperlink ref="G12" r:id="rId6" display="Apply ↗"/>
    <hyperlink ref="G13" r:id="rId7" display="Apply ↗"/>
    <hyperlink ref="G14" r:id="rId8" display="Apply ↗"/>
    <hyperlink ref="G15" r:id="rId9" display="Apply ↗"/>
    <hyperlink ref="G17" r:id="rId10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2026-10-29T04:36:57Z</dcterms:created>
  <dc:creator>openpyxl</dc:creator>
  <dc:description/>
  <dc:language>en-US</dc:language>
  <cp:lastModifiedBy/>
  <dcterms:modified xsi:type="dcterms:W3CDTF">2026-10-29T04:36:57Z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