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Support" sheetId="2" state="visible" r:id="rId4"/>
    <sheet name="VA &amp; Admin" sheetId="3" state="visible" r:id="rId5"/>
    <sheet name="Sales &amp; Marketing" sheetId="4" state="visible" r:id="rId6"/>
    <sheet name="Creative &amp; Content" sheetId="5" state="visible" r:id="rId7"/>
    <sheet name="Tech &amp; Operations" sheetId="6" state="visible" r:id="rId8"/>
    <sheet name="micro1 Referral" sheetId="7" state="visible" r:id="rId9"/>
  </sheets>
  <definedNames>
    <definedName function="false" hidden="false" localSheetId="4" name="_xlnm.Print_Area" vbProcedure="false">'Creative &amp; Content'!$A$1:$L$6</definedName>
    <definedName function="false" hidden="true" localSheetId="4" name="_xlnm._FilterDatabase" vbProcedure="false">'Creative &amp; Content'!$A$4:$L$6</definedName>
    <definedName function="false" hidden="false" localSheetId="1" name="_xlnm.Print_Area" vbProcedure="false">'Customer Support'!$A$1:$L$6</definedName>
    <definedName function="false" hidden="true" localSheetId="1" name="_xlnm._FilterDatabase" vbProcedure="false">'Customer Support'!$A$4:$L$6</definedName>
    <definedName function="false" hidden="false" localSheetId="6" name="_xlnm.Print_Area" vbProcedure="false">'micro1 Referral'!$A$1:$H$24</definedName>
    <definedName function="false" hidden="true" localSheetId="6" name="_xlnm._FilterDatabase" vbProcedure="false">'micro1 Referral'!$A$4:$H$24</definedName>
    <definedName function="false" hidden="false" localSheetId="3" name="_xlnm.Print_Area" vbProcedure="false">'Sales &amp; Marketing'!$A$1:$L$13</definedName>
    <definedName function="false" hidden="true" localSheetId="3" name="_xlnm._FilterDatabase" vbProcedure="false">'Sales &amp; Marketing'!$A$4:$L$13</definedName>
    <definedName function="false" hidden="false" localSheetId="5" name="_xlnm.Print_Area" vbProcedure="false">'Tech &amp; Operations'!$A$1:$L$10</definedName>
    <definedName function="false" hidden="true" localSheetId="5" name="_xlnm._FilterDatabase" vbProcedure="false">'Tech &amp; Operations'!$A$4:$L$10</definedName>
    <definedName function="false" hidden="false" localSheetId="2" name="_xlnm.Print_Area" vbProcedure="false">'VA &amp; Admin'!$A$1:$L$7</definedName>
    <definedName function="false" hidden="true" localSheetId="2" name="_xlnm._FilterDatabase" vbProcedure="false">'VA &amp; Admin'!$A$4:$L$7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<sst xmlns="http://schemas.openxmlformats.org/spreadsheetml/2006/main" count="357" uniqueCount="175">
  <si>
    <t xml:space="preserve">ERJ Remote Job Search Sheet — 15 Oct 2026</t>
  </si>
  <si>
    <t xml:space="preserve">Posted 13–15 Oct 2026 (since the 13 Oct sheet) · fully remote · open to people living in Nigeria · no link from any earlier ERJ sheet</t>
  </si>
  <si>
    <t xml:space="preserve">Tab</t>
  </si>
  <si>
    <t xml:space="preserve">Open — Nigeria eligible</t>
  </si>
  <si>
    <t xml:space="preserve">Check before applying</t>
  </si>
  <si>
    <t xml:space="preserve">Total</t>
  </si>
  <si>
    <t xml:space="preserve">Customer Support</t>
  </si>
  <si>
    <t xml:space="preserve">VA &amp; Admin</t>
  </si>
  <si>
    <t xml:space="preserve">Sales &amp; Marketing</t>
  </si>
  <si>
    <t xml:space="preserve">Creative &amp; Content</t>
  </si>
  <si>
    <t xml:space="preserve">Tech &amp; Operations</t>
  </si>
  <si>
    <t xml:space="preserve">micro1 Referral</t>
  </si>
  <si>
    <t xml:space="preserve">Notes</t>
  </si>
  <si>
    <t xml:space="preserve">• Rule used: the posting names Nigeria, Africa, or worldwide/any country. EMEA-only and plain "Remote" roles were left out.</t>
  </si>
  <si>
    <t xml:space="preserve">• micro1 links open each exact job with your referral code built in. 20four7VA roles all have region preference "Any".</t>
  </si>
  <si>
    <t xml:space="preserve">• Left out: 20four7VA roles limited to the Philippines/LatAm or needing Spanish, Social Discovery Group roles needing Russian or based in Serbia, Atlas Brands (US only), Gramian data-science role (no Nigeria), micro1 US-only, licensed medical, Japanese/Korean and broken-pay roles.</t>
  </si>
  <si>
    <t xml:space="preserve">• No new Yoruba / Igbo / Hausa openings since 8 Oct; the 8 Oct language roles are still the ones to share.</t>
  </si>
  <si>
    <t xml:space="preserve">Customer Support — new remote roles open to Nigeria (15 Oct 2026)</t>
  </si>
  <si>
    <t xml:space="preserve">From company career pages (Ashby, Greenhouse, Lever, Workable) and official teaching platforms. Nothing here appears on any earlier ERJ sheet.</t>
  </si>
  <si>
    <t xml:space="preserve">#</t>
  </si>
  <si>
    <t xml:space="preserve">Who can apply</t>
  </si>
  <si>
    <t xml:space="preserve">Role</t>
  </si>
  <si>
    <t xml:space="preserve">Company</t>
  </si>
  <si>
    <t xml:space="preserve">Status</t>
  </si>
  <si>
    <t xml:space="preserve">Level</t>
  </si>
  <si>
    <t xml:space="preserve">Pay (as listed)</t>
  </si>
  <si>
    <t xml:space="preserve">Key requirements</t>
  </si>
  <si>
    <t xml:space="preserve">ATS</t>
  </si>
  <si>
    <t xml:space="preserve">Posted</t>
  </si>
  <si>
    <t xml:space="preserve">Apply link</t>
  </si>
  <si>
    <t xml:space="preserve">Note</t>
  </si>
  <si>
    <t xml:space="preserve">▸ Worldwide / global</t>
  </si>
  <si>
    <t xml:space="preserve">Anyone worldwide (Region preference: Any)</t>
  </si>
  <si>
    <t xml:space="preserve">Sleep Care Advisor (S0) Virtual Assistant (CPT-11644)</t>
  </si>
  <si>
    <t xml:space="preserve">20four7VA</t>
  </si>
  <si>
    <t xml:space="preserve">Junior to Advanced</t>
  </si>
  <si>
    <t xml:space="preserve">Competitive rates, paid weekly</t>
  </si>
  <si>
    <t xml:space="preserve">CRM experience; 1-2+ yrs sales/appointment setting/patient support; phone communication; 40 hrs/wk 9am-6pm PT (may include weekends)</t>
  </si>
  <si>
    <t xml:space="preserve">Breezy</t>
  </si>
  <si>
    <t xml:space="preserve">14–15 Oct</t>
  </si>
  <si>
    <t xml:space="preserve">Apply ↗</t>
  </si>
  <si>
    <t xml:space="preserve">VA &amp; Admin — new remote roles open to Nigeria (15 Oct 2026)</t>
  </si>
  <si>
    <t xml:space="preserve">Construction Project Management &amp; Administrative Virtual Assistant (CPT-11543)</t>
  </si>
  <si>
    <t xml:space="preserve">Junior / Senior</t>
  </si>
  <si>
    <t xml:space="preserve">Competitive rates, paid weekly (amount not stated)</t>
  </si>
  <si>
    <t xml:space="preserve">Spreadsheet and data-entry experience; strong follow-up and organisation; willing to sign client NDAs; 10 hrs/wk, flexible EST</t>
  </si>
  <si>
    <t xml:space="preserve">14 Oct</t>
  </si>
  <si>
    <t xml:space="preserve">Part-time, 10 hrs/week (may increase)</t>
  </si>
  <si>
    <t xml:space="preserve">Pharmaceutical Research &amp; Competitive Intelligence Virtual Assistant (CPT-11534)</t>
  </si>
  <si>
    <t xml:space="preserve">Healthcare/medical background (minimum); research experience; attention to detail; 20 hrs/wk, flexible EST hours</t>
  </si>
  <si>
    <t xml:space="preserve">Good fit for pharmacists/nurses/medical graduates</t>
  </si>
  <si>
    <t xml:space="preserve">Sales &amp; Marketing — new remote roles open to Nigeria (15 Oct 2026)</t>
  </si>
  <si>
    <t xml:space="preserve">Credit Repair Lead Generation Virtual Assistant (CPT-11520)</t>
  </si>
  <si>
    <t xml:space="preserve">Entry / Junior / Senior</t>
  </si>
  <si>
    <t xml:space="preserve">Prior credit repair experience (banking/lead-gen a plus); strong written English; spreadsheet lead tracking; 10 hrs/wk, 10am-12pm CT</t>
  </si>
  <si>
    <t xml:space="preserve">13 Oct</t>
  </si>
  <si>
    <t xml:space="preserve">Part-time, 10 hrs/week</t>
  </si>
  <si>
    <t xml:space="preserve">Outbound Appointment Setter – Financial Services (CPT-11389)</t>
  </si>
  <si>
    <t xml:space="preserve">Cold calling / outbound telemarketing experience; appointment setting; objection handling; clear spoken English (accent A-B); 20 hrs/wk Mon-Fri, 9am-5pm PST window</t>
  </si>
  <si>
    <t xml:space="preserve">Part-time contractor, 20 hrs/week</t>
  </si>
  <si>
    <t xml:space="preserve">Any country (20four7VA region preference: Any)</t>
  </si>
  <si>
    <t xml:space="preserve">Outbound Client Appointment Setting Virtual Assistant (CPT-11632)</t>
  </si>
  <si>
    <t xml:space="preserve">Mid</t>
  </si>
  <si>
    <t xml:space="preserve">Paid weekly (rate on posting)</t>
  </si>
  <si>
    <t xml:space="preserve">Outbound calls/emails to book client appointments; strong spoken English</t>
  </si>
  <si>
    <t xml:space="preserve">Social Media &amp; Content Marketing Virtual Assistant (CPT-11505)</t>
  </si>
  <si>
    <t xml:space="preserve">Senior / Advanced</t>
  </si>
  <si>
    <t xml:space="preserve">Social media management experience; content creation; Canva; strong written English; 10 hrs/wk, 2-4pm MST</t>
  </si>
  <si>
    <t xml:space="preserve">Social Media &amp; Real Estate Marketing Virtual Assistant (CPT-11659)</t>
  </si>
  <si>
    <t xml:space="preserve">Social media management; content creation and graphic design; Canva; 10-20 hrs/wk flexible EST</t>
  </si>
  <si>
    <t xml:space="preserve">Remote – Worldwide (per job description)</t>
  </si>
  <si>
    <t xml:space="preserve">Senior Meta Media Buyer (Resilia)</t>
  </si>
  <si>
    <t xml:space="preserve">Incubator Lab</t>
  </si>
  <si>
    <t xml:space="preserve">3–6+ yrs</t>
  </si>
  <si>
    <t xml:space="preserve">See posting</t>
  </si>
  <si>
    <t xml:space="preserve">Owned high-spend Meta ad accounts (DTC/e-commerce); strong KPI fluency; overlap with US hours</t>
  </si>
  <si>
    <t xml:space="preserve">15 Oct</t>
  </si>
  <si>
    <t xml:space="preserve">▸ Region list incl. Nigeria</t>
  </si>
  <si>
    <t xml:space="preserve">LATAM, Africa and Eastern Europe — fully remote, anywhere</t>
  </si>
  <si>
    <t xml:space="preserve">Head of Growth</t>
  </si>
  <si>
    <t xml:space="preserve">Scale Army</t>
  </si>
  <si>
    <t xml:space="preserve">Senior</t>
  </si>
  <si>
    <t xml:space="preserve">Lead growth for Scale Army; must work US Eastern hours</t>
  </si>
  <si>
    <t xml:space="preserve">Ashby</t>
  </si>
  <si>
    <t xml:space="preserve">Creative &amp; Content — new remote roles open to Nigeria (15 Oct 2026)</t>
  </si>
  <si>
    <t xml:space="preserve">Anyone worldwide with working-hours overlap with the team</t>
  </si>
  <si>
    <t xml:space="preserve">Product Designer</t>
  </si>
  <si>
    <t xml:space="preserve">Minerva Project</t>
  </si>
  <si>
    <t xml:space="preserve">Junior / Mid / Senior</t>
  </si>
  <si>
    <t xml:space="preserve">US$70,000 – $125,000 per year</t>
  </si>
  <si>
    <t xml:space="preserve">Portfolio showing interaction design and complex workflows; Figma (components, prototyping); accessibility and responsive web design; clear written communication</t>
  </si>
  <si>
    <t xml:space="preserve">Fully remote, no location restrictions</t>
  </si>
  <si>
    <t xml:space="preserve">Tech &amp; Operations — new remote roles open to Nigeria (15 Oct 2026)</t>
  </si>
  <si>
    <t xml:space="preserve">WordPress Website Design &amp; Development (I-CPT-11658)</t>
  </si>
  <si>
    <t xml:space="preserve">Junior</t>
  </si>
  <si>
    <t xml:space="preserve">Competitive rates</t>
  </si>
  <si>
    <t xml:space="preserve">WordPress setup on GoDaddy hosting; responsive design and QA; contact form setup/testing; 10 hrs/wk project-based</t>
  </si>
  <si>
    <t xml:space="preserve">Remote from Nigeria, Kenya, Pakistan, Indonesia, Turkey or Vietnam (separate req covers Ghana, Egypt, India, etc.)</t>
  </si>
  <si>
    <t xml:space="preserve">Civil &amp; Structural Engineering Task Lead (AI Projects)</t>
  </si>
  <si>
    <t xml:space="preserve">Gramian Consulting Group</t>
  </si>
  <si>
    <t xml:space="preserve">Lead (oversees 5-10 trainers)</t>
  </si>
  <si>
    <t xml:space="preserve">Not stated (contract)</t>
  </si>
  <si>
    <t xml:space="preserve">PhD/postdoc or equivalent in civil, structural or geotechnical engineering; Python, C/C++, Julia, Fortran or MATLAB; Linux/command line; design codes (ASCE 7, ACI, AISC, Eurocodes)</t>
  </si>
  <si>
    <t xml:space="preserve">Workable</t>
  </si>
  <si>
    <t xml:space="preserve">Contract AI-training role; English only</t>
  </si>
  <si>
    <t xml:space="preserve">▸ Nigeria-based remote</t>
  </si>
  <si>
    <t xml:space="preserve">Must live in Nigeria (work from home)</t>
  </si>
  <si>
    <t xml:space="preserve">Search Engine Evaluator - English (Nigeria)</t>
  </si>
  <si>
    <t xml:space="preserve">RWS TrainAI</t>
  </si>
  <si>
    <t xml:space="preserve">Entry level</t>
  </si>
  <si>
    <t xml:space="preserve">Up to $6/hr</t>
  </si>
  <si>
    <t xml:space="preserve">5–20 hrs/week; good knowledge of Nigerian popular culture; pass a training test; 18+</t>
  </si>
  <si>
    <t xml:space="preserve">Lever</t>
  </si>
  <si>
    <t xml:space="preserve">micro1 — new roles on your referral link (15 Oct 2026)</t>
  </si>
  <si>
    <t xml:space="preserve">Every "Apply ↗" opens that exact micro1 job with your referral code built in, so applications are credited to you. Remote AI-training / expert contracts; country eligibility is confirmed during micro1 application.</t>
  </si>
  <si>
    <t xml:space="preserve">Field</t>
  </si>
  <si>
    <t xml:space="preserve">Pay (per hour, as listed)</t>
  </si>
  <si>
    <t xml:space="preserve">Openings</t>
  </si>
  <si>
    <t xml:space="preserve">Apply via referral</t>
  </si>
  <si>
    <t xml:space="preserve">▸ Teaching &amp; Writing</t>
  </si>
  <si>
    <t xml:space="preserve">Teaching &amp; Writing</t>
  </si>
  <si>
    <t xml:space="preserve">Education Practitioner - Learning &amp; Assessment Specialist</t>
  </si>
  <si>
    <t xml:space="preserve">$90–130/hr</t>
  </si>
  <si>
    <t xml:space="preserve">50</t>
  </si>
  <si>
    <t xml:space="preserve">Instructional designers and educators</t>
  </si>
  <si>
    <t xml:space="preserve">▸ Legal</t>
  </si>
  <si>
    <t xml:space="preserve">Legal</t>
  </si>
  <si>
    <t xml:space="preserve">Lawyer</t>
  </si>
  <si>
    <t xml:space="preserve">$100–170/hr</t>
  </si>
  <si>
    <t xml:space="preserve">Legal reasoning, issue-spotting, legal writing</t>
  </si>
  <si>
    <t xml:space="preserve">Lawyer (contract review)</t>
  </si>
  <si>
    <t xml:space="preserve">$60–75/hr</t>
  </si>
  <si>
    <t xml:space="preserve">5</t>
  </si>
  <si>
    <t xml:space="preserve">Contract review, legal research, regulatory compliance</t>
  </si>
  <si>
    <t xml:space="preserve">Employment Lawyer</t>
  </si>
  <si>
    <t xml:space="preserve">Employment law expertise</t>
  </si>
  <si>
    <t xml:space="preserve">▸ Finance</t>
  </si>
  <si>
    <t xml:space="preserve">Finance</t>
  </si>
  <si>
    <t xml:space="preserve">Accountant / Auditor</t>
  </si>
  <si>
    <t xml:space="preserve">$50–70/hr</t>
  </si>
  <si>
    <t xml:space="preserve">15</t>
  </si>
  <si>
    <t xml:space="preserve">Financial reporting, GAAP/IFRS, audit</t>
  </si>
  <si>
    <t xml:space="preserve">Investment Banking – M&amp;A Advisory</t>
  </si>
  <si>
    <t xml:space="preserve">$175–300/hr</t>
  </si>
  <si>
    <t xml:space="preserve">25</t>
  </si>
  <si>
    <t xml:space="preserve">Financial modelling, Excel, company research</t>
  </si>
  <si>
    <t xml:space="preserve">▸ AI Training &amp; Admin</t>
  </si>
  <si>
    <t xml:space="preserve">AI Training &amp; Admin</t>
  </si>
  <si>
    <t xml:space="preserve">Retail Trade &amp; Operations Expert</t>
  </si>
  <si>
    <t xml:space="preserve">$40–70/hr</t>
  </si>
  <si>
    <t xml:space="preserve">Retail experience</t>
  </si>
  <si>
    <t xml:space="preserve">Agriculture, Forestry &amp; Environmental Experts</t>
  </si>
  <si>
    <t xml:space="preserve">$40–60/hr</t>
  </si>
  <si>
    <t xml:space="preserve">Agricultural engineering, environmental conservation</t>
  </si>
  <si>
    <t xml:space="preserve">▸ Software &amp; Data</t>
  </si>
  <si>
    <t xml:space="preserve">Software &amp; Data</t>
  </si>
  <si>
    <t xml:space="preserve">IT Manager</t>
  </si>
  <si>
    <t xml:space="preserve">IT strategy, systems architecture, team leadership</t>
  </si>
  <si>
    <t xml:space="preserve">Software Developer</t>
  </si>
  <si>
    <t xml:space="preserve">Python, JavaScript, Java</t>
  </si>
  <si>
    <t xml:space="preserve">Software Engineer (Open Source Contributor)</t>
  </si>
  <si>
    <t xml:space="preserve">$50–100/hr</t>
  </si>
  <si>
    <t xml:space="preserve">100</t>
  </si>
  <si>
    <t xml:space="preserve">Python, Java, Rust</t>
  </si>
  <si>
    <t xml:space="preserve">Privacy Analyst</t>
  </si>
  <si>
    <t xml:space="preserve">$31–60/hr</t>
  </si>
  <si>
    <t xml:space="preserve">PII, data privacy, document review</t>
  </si>
  <si>
    <t xml:space="preserve">▸ Health &amp; Science</t>
  </si>
  <si>
    <t xml:space="preserve">Health &amp; Science</t>
  </si>
  <si>
    <t xml:space="preserve">Research Scientist - Computer Science &amp; Computational Physics</t>
  </si>
  <si>
    <t xml:space="preserve">$100–400/hr</t>
  </si>
  <si>
    <t xml:space="preserve">4</t>
  </si>
  <si>
    <t xml:space="preserve">Computational rigour, research problem-solving</t>
  </si>
  <si>
    <t xml:space="preserve">Principal Research Scientist (Computer Science / Computational Physics)</t>
  </si>
  <si>
    <t xml:space="preserve">Research direction, novelty judgment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</si>
</sst>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B23A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DE3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DE3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23A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FF3E4"/>
        </patternFill>
      </fill>
    </dxf>
    <dxf>
      <font>
        <name val="Arial"/>
        <charset val="1"/>
        <family val="0"/>
        <color rgb="FF7A5B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DE3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23A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RJ_Search_Sheet_15_Oct_2026.xlsx" TargetMode="External"/><Relationship Id="rId2" Type="http://schemas.openxmlformats.org/officeDocument/2006/relationships/hyperlink" Target="ERJ_Search_Sheet_15_Oct_2026.xlsx" TargetMode="External"/><Relationship Id="rId3" Type="http://schemas.openxmlformats.org/officeDocument/2006/relationships/hyperlink" Target="ERJ_Search_Sheet_15_Oct_2026.xlsx" TargetMode="External"/><Relationship Id="rId4" Type="http://schemas.openxmlformats.org/officeDocument/2006/relationships/hyperlink" Target="ERJ_Search_Sheet_15_Oct_2026.xlsx" TargetMode="External"/><Relationship Id="rId5" Type="http://schemas.openxmlformats.org/officeDocument/2006/relationships/hyperlink" Target="ERJ_Search_Sheet_15_Oct_2026.xlsx" TargetMode="External"/><Relationship Id="rId6" Type="http://schemas.openxmlformats.org/officeDocument/2006/relationships/hyperlink" Target="ERJ_Search_Sheet_15_Oct_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989d030dce4c-cpt-11644-sleep-care-advisor-s0-virtual-assistant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b236fab2a18f-cpt-11543-construction-project-management-administrative-virtual-assistant" TargetMode="External"/><Relationship Id="rId2" Type="http://schemas.openxmlformats.org/officeDocument/2006/relationships/hyperlink" Target="https://20four7va.breezy.hr/p/8f73ccd470fe-cpt-11534-pharmaceutical-research-competitive-intelligence-virtual-assistant" TargetMode="External"/><Relationship Id="rId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3de2004fcb55-cpt-11520-credit-repair-lead-generation-virtual-assistant" TargetMode="External"/><Relationship Id="rId2" Type="http://schemas.openxmlformats.org/officeDocument/2006/relationships/hyperlink" Target="https://20four7va.breezy.hr/p/21766d60bcd9-cpt-11389-outbound-appointment-setter-financial-services" TargetMode="External"/><Relationship Id="rId3" Type="http://schemas.openxmlformats.org/officeDocument/2006/relationships/hyperlink" Target="https://20four7va.breezy.hr/p/5960a11e9d45-cpt-11632-outbound-client-appointment-setting-virtual-assistant" TargetMode="External"/><Relationship Id="rId4" Type="http://schemas.openxmlformats.org/officeDocument/2006/relationships/hyperlink" Target="https://20four7va.breezy.hr/p/16b898127c77-cpt-11505-social-media-content-marketing-virtual-assistant" TargetMode="External"/><Relationship Id="rId5" Type="http://schemas.openxmlformats.org/officeDocument/2006/relationships/hyperlink" Target="https://20four7va.breezy.hr/p/570c570953cf-cpt-11659-social-media-real-estate-marketing-virtual-assistant" TargetMode="External"/><Relationship Id="rId6" Type="http://schemas.openxmlformats.org/officeDocument/2006/relationships/hyperlink" Target="https://incubator-lab.breezy.hr/p/35231590c38a-meta-media-buyer" TargetMode="External"/><Relationship Id="rId7" Type="http://schemas.openxmlformats.org/officeDocument/2006/relationships/hyperlink" Target="https://jobs.ashbyhq.com/scale%20army%20careers/94468ad6-b488-4764-a8a4-b28bd1c6b149" TargetMode="External"/><Relationship Id="rId8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minerva-project.breezy.hr/p/16caca3b823c-product-designer" TargetMode="External"/><Relationship Id="rId2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9e55c8b06e04-i-cpt-11658-wordpress-website-design-development" TargetMode="External"/><Relationship Id="rId2" Type="http://schemas.openxmlformats.org/officeDocument/2006/relationships/hyperlink" Target="https://apply.workable.com/gramian/j/4C27F8976E" TargetMode="External"/><Relationship Id="rId3" Type="http://schemas.openxmlformats.org/officeDocument/2006/relationships/hyperlink" Target="https://jobs.lever.co/rws/483109df-dff9-4f8e-9b2a-d51572725adc" TargetMode="External"/><Relationship Id="rId4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jobs.micro1.ai/post/c3af6520-9ea8-4717-b8c6-2b9dee8ee470?referralCode=d3605f74-92f0-4f1c-b8e2-4ab757bffc26" TargetMode="External"/><Relationship Id="rId2" Type="http://schemas.openxmlformats.org/officeDocument/2006/relationships/hyperlink" Target="https://jobs.micro1.ai/post/d484ab8c-eb8b-4b2f-b742-3d00719ca143?referralCode=d3605f74-92f0-4f1c-b8e2-4ab757bffc26" TargetMode="External"/><Relationship Id="rId3" Type="http://schemas.openxmlformats.org/officeDocument/2006/relationships/hyperlink" Target="https://jobs.micro1.ai/post/6fc6311d-f159-46ad-90c9-df1c42c9765b?referralCode=d3605f74-92f0-4f1c-b8e2-4ab757bffc26" TargetMode="External"/><Relationship Id="rId4" Type="http://schemas.openxmlformats.org/officeDocument/2006/relationships/hyperlink" Target="https://jobs.micro1.ai/post/68d31799-41cb-4899-987b-527eba2ef40a?referralCode=d3605f74-92f0-4f1c-b8e2-4ab757bffc26" TargetMode="External"/><Relationship Id="rId5" Type="http://schemas.openxmlformats.org/officeDocument/2006/relationships/hyperlink" Target="https://jobs.micro1.ai/post/473cffff-4779-4826-840d-f8b6ae4b3c63?referralCode=d3605f74-92f0-4f1c-b8e2-4ab757bffc26" TargetMode="External"/><Relationship Id="rId6" Type="http://schemas.openxmlformats.org/officeDocument/2006/relationships/hyperlink" Target="https://jobs.micro1.ai/post/51d28c89-faea-4ff7-8ea5-181b4a6dce86?referralCode=d3605f74-92f0-4f1c-b8e2-4ab757bffc26" TargetMode="External"/><Relationship Id="rId7" Type="http://schemas.openxmlformats.org/officeDocument/2006/relationships/hyperlink" Target="https://jobs.micro1.ai/post/678001af-5fc0-4173-8320-3b0dc183651d?referralCode=d3605f74-92f0-4f1c-b8e2-4ab757bffc26" TargetMode="External"/><Relationship Id="rId8" Type="http://schemas.openxmlformats.org/officeDocument/2006/relationships/hyperlink" Target="https://jobs.micro1.ai/post/f65069d1-f642-4b92-b8f2-76685acbe473?referralCode=d3605f74-92f0-4f1c-b8e2-4ab757bffc26" TargetMode="External"/><Relationship Id="rId9" Type="http://schemas.openxmlformats.org/officeDocument/2006/relationships/hyperlink" Target="https://jobs.micro1.ai/post/1a90eb63-30e8-4c77-9996-94dc4b02d909?referralCode=d3605f74-92f0-4f1c-b8e2-4ab757bffc26" TargetMode="External"/><Relationship Id="rId10" Type="http://schemas.openxmlformats.org/officeDocument/2006/relationships/hyperlink" Target="https://jobs.micro1.ai/post/92b81bda-6c3f-42c1-9cad-9e3cdb911ad9?referralCode=d3605f74-92f0-4f1c-b8e2-4ab757bffc26" TargetMode="External"/><Relationship Id="rId11" Type="http://schemas.openxmlformats.org/officeDocument/2006/relationships/hyperlink" Target="https://jobs.micro1.ai/post/f29dc369-f46f-443e-986b-7120eebe9225?referralCode=d3605f74-92f0-4f1c-b8e2-4ab757bffc26" TargetMode="External"/><Relationship Id="rId12" Type="http://schemas.openxmlformats.org/officeDocument/2006/relationships/hyperlink" Target="https://jobs.micro1.ai/post/612ae8d5-8e3d-4750-b779-b3a0e3e02a52?referralCode=d3605f74-92f0-4f1c-b8e2-4ab757bffc26" TargetMode="External"/><Relationship Id="rId13" Type="http://schemas.openxmlformats.org/officeDocument/2006/relationships/hyperlink" Target="https://jobs.micro1.ai/post/3cfe73e9-28fa-4b8f-a0b7-bdba2b00f3ef?referralCode=d3605f74-92f0-4f1c-b8e2-4ab757bffc26" TargetMode="External"/><Relationship Id="rId14" Type="http://schemas.openxmlformats.org/officeDocument/2006/relationships/hyperlink" Target="https://jobs.micro1.ai/post/83ed9d66-130e-4c8f-8e9f-b1d18acdcf98?referralCode=d3605f74-92f0-4f1c-b8e2-4ab757bffc26" TargetMode="External"/><Relationship Id="rId15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COUNTIF('Customer Support'!$E$5:$E$6,"Open*")</f>
        <v>1</v>
      </c>
      <c r="C5" s="5" t="n">
        <f aca="false">COUNTIF('Customer Support'!$E$5:$E$6,"Check*")</f>
        <v>0</v>
      </c>
      <c r="D5" s="5" t="n">
        <f aca="false">B5+C5</f>
        <v>1</v>
      </c>
    </row>
    <row r="6" customFormat="false" ht="15" hidden="false" customHeight="false" outlineLevel="0" collapsed="false">
      <c r="A6" s="4" t="s">
        <v>7</v>
      </c>
      <c r="B6" s="5" t="n">
        <f aca="false">COUNTIF('VA &amp; Admin'!$E$5:$E$7,"Open*")</f>
        <v>2</v>
      </c>
      <c r="C6" s="5" t="n">
        <f aca="false">COUNTIF('VA &amp; Admin'!$E$5:$E$7,"Check*")</f>
        <v>0</v>
      </c>
      <c r="D6" s="5" t="n">
        <f aca="false">B6+C6</f>
        <v>2</v>
      </c>
    </row>
    <row r="7" customFormat="false" ht="15" hidden="false" customHeight="false" outlineLevel="0" collapsed="false">
      <c r="A7" s="4" t="s">
        <v>8</v>
      </c>
      <c r="B7" s="5" t="n">
        <f aca="false">COUNTIF('Sales &amp; Marketing'!$E$5:$E$13,"Open*")</f>
        <v>7</v>
      </c>
      <c r="C7" s="5" t="n">
        <f aca="false">COUNTIF('Sales &amp; Marketing'!$E$5:$E$13,"Check*")</f>
        <v>0</v>
      </c>
      <c r="D7" s="5" t="n">
        <f aca="false">B7+C7</f>
        <v>7</v>
      </c>
    </row>
    <row r="8" customFormat="false" ht="15" hidden="false" customHeight="false" outlineLevel="0" collapsed="false">
      <c r="A8" s="4" t="s">
        <v>9</v>
      </c>
      <c r="B8" s="5" t="n">
        <f aca="false">COUNTIF('Creative &amp; Content'!$E$5:$E$6,"Open*")</f>
        <v>1</v>
      </c>
      <c r="C8" s="5" t="n">
        <f aca="false">COUNTIF('Creative &amp; Content'!$E$5:$E$6,"Check*")</f>
        <v>0</v>
      </c>
      <c r="D8" s="5" t="n">
        <f aca="false">B8+C8</f>
        <v>1</v>
      </c>
    </row>
    <row r="9" customFormat="false" ht="15" hidden="false" customHeight="false" outlineLevel="0" collapsed="false">
      <c r="A9" s="4" t="s">
        <v>10</v>
      </c>
      <c r="B9" s="5" t="n">
        <f aca="false">COUNTIF('Tech &amp; Operations'!$E$5:$E$10,"Open*")</f>
        <v>3</v>
      </c>
      <c r="C9" s="5" t="n">
        <f aca="false">COUNTIF('Tech &amp; Operations'!$E$5:$E$10,"Check*")</f>
        <v>0</v>
      </c>
      <c r="D9" s="5" t="n">
        <f aca="false">B9+C9</f>
        <v>3</v>
      </c>
    </row>
    <row r="10" customFormat="false" ht="15" hidden="false" customHeight="false" outlineLevel="0" collapsed="false">
      <c r="A10" s="4" t="s">
        <v>11</v>
      </c>
      <c r="B10" s="5" t="n">
        <f aca="false">COUNTA('micro1 Referral'!$C$5:$C$24)</f>
        <v>14</v>
      </c>
      <c r="C10" s="5" t="n">
        <v>0</v>
      </c>
      <c r="D10" s="5" t="n">
        <f aca="false">B10+C10</f>
        <v>14</v>
      </c>
    </row>
    <row r="11" customFormat="false" ht="15" hidden="false" customHeight="false" outlineLevel="0" collapsed="false">
      <c r="A11" s="6" t="s">
        <v>5</v>
      </c>
      <c r="B11" s="7" t="n">
        <f aca="false">SUM(B5:B10)</f>
        <v>28</v>
      </c>
      <c r="C11" s="7" t="n">
        <f aca="false">SUM(C5:C10)</f>
        <v>0</v>
      </c>
      <c r="D11" s="7" t="n">
        <f aca="false">SUM(D5:D10)</f>
        <v>28</v>
      </c>
    </row>
    <row r="13" customFormat="false" ht="15" hidden="false" customHeight="false" outlineLevel="0" collapsed="false">
      <c r="A13" s="8" t="s">
        <v>12</v>
      </c>
    </row>
    <row r="14" customFormat="false" ht="60" hidden="false" customHeight="true" outlineLevel="0" collapsed="false">
      <c r="A14" s="9" t="s">
        <v>13</v>
      </c>
      <c r="B14" s="9"/>
      <c r="C14" s="9"/>
      <c r="D14" s="9"/>
    </row>
    <row r="15" customFormat="false" ht="60" hidden="false" customHeight="true" outlineLevel="0" collapsed="false">
      <c r="A15" s="9" t="s">
        <v>14</v>
      </c>
      <c r="B15" s="9"/>
      <c r="C15" s="9"/>
      <c r="D15" s="9"/>
    </row>
    <row r="16" customFormat="false" ht="60" hidden="false" customHeight="true" outlineLevel="0" collapsed="false">
      <c r="A16" s="9" t="s">
        <v>15</v>
      </c>
      <c r="B16" s="9"/>
      <c r="C16" s="9"/>
      <c r="D16" s="9"/>
    </row>
    <row r="17" customFormat="false" ht="60" hidden="false" customHeight="true" outlineLevel="0" collapsed="false">
      <c r="A17" s="9" t="s">
        <v>16</v>
      </c>
      <c r="B17" s="9"/>
      <c r="C17" s="9"/>
      <c r="D17" s="9"/>
    </row>
  </sheetData>
  <mergeCells count="4">
    <mergeCell ref="A14:D14"/>
    <mergeCell ref="A15:D15"/>
    <mergeCell ref="A16:D16"/>
    <mergeCell ref="A17:D17"/>
  </mergeCells>
  <hyperlinks>
    <hyperlink ref="A5" r:id="rId1" location="'Customer%20Support'!A1" display="Customer Support"/>
    <hyperlink ref="A6" r:id="rId2" location="'VA%20&amp;%20Admin'!A1" display="VA &amp; Admin"/>
    <hyperlink ref="A7" r:id="rId3" location="'Sales%20&amp;%20Marketing'!A1" display="Sales &amp; Marketing"/>
    <hyperlink ref="A8" r:id="rId4" location="'Creative%20&amp;%20Content'!A1" display="Creative &amp; Content"/>
    <hyperlink ref="A9" r:id="rId5" location="'Tech%20&amp;%20Operations'!A1" display="Tech &amp; Operations"/>
    <hyperlink ref="A10" r:id="rId6" location="'micro1%20Referral'!A1" display="micro1 Refer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17</v>
      </c>
    </row>
    <row r="2" customFormat="false" ht="15" hidden="false" customHeight="false" outlineLevel="0" collapsed="false">
      <c r="A2" s="11" t="s">
        <v>18</v>
      </c>
    </row>
    <row r="4" customFormat="false" ht="25.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customFormat="false" ht="15" hidden="false" customHeight="false" outlineLevel="0" collapsed="false">
      <c r="A5" s="12" t="s">
        <v>31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35.05" hidden="false" customHeight="false" outlineLevel="0" collapsed="false">
      <c r="A6" s="14" t="n">
        <v>1</v>
      </c>
      <c r="B6" s="15" t="s">
        <v>32</v>
      </c>
      <c r="C6" s="15" t="s">
        <v>33</v>
      </c>
      <c r="D6" s="14" t="s">
        <v>34</v>
      </c>
      <c r="E6" s="14" t="s">
        <v>3</v>
      </c>
      <c r="F6" s="14" t="s">
        <v>35</v>
      </c>
      <c r="G6" s="15" t="s">
        <v>36</v>
      </c>
      <c r="H6" s="15" t="s">
        <v>37</v>
      </c>
      <c r="I6" s="14" t="s">
        <v>38</v>
      </c>
      <c r="J6" s="14" t="s">
        <v>39</v>
      </c>
      <c r="K6" s="16" t="s">
        <v>40</v>
      </c>
      <c r="L6" s="15"/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41</v>
      </c>
    </row>
    <row r="2" customFormat="false" ht="15" hidden="false" customHeight="false" outlineLevel="0" collapsed="false">
      <c r="A2" s="11" t="s">
        <v>18</v>
      </c>
    </row>
    <row r="4" customFormat="false" ht="25.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customFormat="false" ht="15" hidden="false" customHeight="false" outlineLevel="0" collapsed="false">
      <c r="A5" s="12" t="s">
        <v>31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35.05" hidden="false" customHeight="false" outlineLevel="0" collapsed="false">
      <c r="A6" s="14" t="n">
        <v>1</v>
      </c>
      <c r="B6" s="15" t="s">
        <v>32</v>
      </c>
      <c r="C6" s="15" t="s">
        <v>42</v>
      </c>
      <c r="D6" s="14" t="s">
        <v>34</v>
      </c>
      <c r="E6" s="14" t="s">
        <v>3</v>
      </c>
      <c r="F6" s="14" t="s">
        <v>43</v>
      </c>
      <c r="G6" s="15" t="s">
        <v>44</v>
      </c>
      <c r="H6" s="15" t="s">
        <v>45</v>
      </c>
      <c r="I6" s="14" t="s">
        <v>38</v>
      </c>
      <c r="J6" s="14" t="s">
        <v>46</v>
      </c>
      <c r="K6" s="16" t="s">
        <v>40</v>
      </c>
      <c r="L6" s="15" t="s">
        <v>47</v>
      </c>
    </row>
    <row r="7" customFormat="false" ht="35.05" hidden="false" customHeight="false" outlineLevel="0" collapsed="false">
      <c r="A7" s="14" t="n">
        <v>2</v>
      </c>
      <c r="B7" s="15" t="s">
        <v>32</v>
      </c>
      <c r="C7" s="15" t="s">
        <v>48</v>
      </c>
      <c r="D7" s="14" t="s">
        <v>34</v>
      </c>
      <c r="E7" s="14" t="s">
        <v>3</v>
      </c>
      <c r="F7" s="14" t="s">
        <v>35</v>
      </c>
      <c r="G7" s="15" t="s">
        <v>44</v>
      </c>
      <c r="H7" s="15" t="s">
        <v>49</v>
      </c>
      <c r="I7" s="14" t="s">
        <v>38</v>
      </c>
      <c r="J7" s="14" t="s">
        <v>46</v>
      </c>
      <c r="K7" s="16" t="s">
        <v>40</v>
      </c>
      <c r="L7" s="15" t="s">
        <v>50</v>
      </c>
    </row>
  </sheetData>
  <autoFilter ref="A4:L7"/>
  <conditionalFormatting sqref="E5:E7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51</v>
      </c>
    </row>
    <row r="2" customFormat="false" ht="15" hidden="false" customHeight="false" outlineLevel="0" collapsed="false">
      <c r="A2" s="11" t="s">
        <v>18</v>
      </c>
    </row>
    <row r="4" customFormat="false" ht="25.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customFormat="false" ht="15" hidden="false" customHeight="false" outlineLevel="0" collapsed="false">
      <c r="A5" s="12" t="s">
        <v>31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35.05" hidden="false" customHeight="false" outlineLevel="0" collapsed="false">
      <c r="A6" s="14" t="n">
        <v>1</v>
      </c>
      <c r="B6" s="15" t="s">
        <v>32</v>
      </c>
      <c r="C6" s="15" t="s">
        <v>52</v>
      </c>
      <c r="D6" s="14" t="s">
        <v>34</v>
      </c>
      <c r="E6" s="14" t="s">
        <v>3</v>
      </c>
      <c r="F6" s="14" t="s">
        <v>53</v>
      </c>
      <c r="G6" s="15" t="s">
        <v>44</v>
      </c>
      <c r="H6" s="15" t="s">
        <v>54</v>
      </c>
      <c r="I6" s="14" t="s">
        <v>38</v>
      </c>
      <c r="J6" s="14" t="s">
        <v>55</v>
      </c>
      <c r="K6" s="16" t="s">
        <v>40</v>
      </c>
      <c r="L6" s="15" t="s">
        <v>56</v>
      </c>
    </row>
    <row r="7" customFormat="false" ht="46.25" hidden="false" customHeight="false" outlineLevel="0" collapsed="false">
      <c r="A7" s="14" t="n">
        <v>2</v>
      </c>
      <c r="B7" s="15" t="s">
        <v>32</v>
      </c>
      <c r="C7" s="15" t="s">
        <v>57</v>
      </c>
      <c r="D7" s="14" t="s">
        <v>34</v>
      </c>
      <c r="E7" s="14" t="s">
        <v>3</v>
      </c>
      <c r="F7" s="14" t="s">
        <v>53</v>
      </c>
      <c r="G7" s="15" t="s">
        <v>44</v>
      </c>
      <c r="H7" s="15" t="s">
        <v>58</v>
      </c>
      <c r="I7" s="14" t="s">
        <v>38</v>
      </c>
      <c r="J7" s="14" t="s">
        <v>55</v>
      </c>
      <c r="K7" s="16" t="s">
        <v>40</v>
      </c>
      <c r="L7" s="15" t="s">
        <v>59</v>
      </c>
    </row>
    <row r="8" customFormat="false" ht="23.85" hidden="false" customHeight="false" outlineLevel="0" collapsed="false">
      <c r="A8" s="14" t="n">
        <v>3</v>
      </c>
      <c r="B8" s="15" t="s">
        <v>60</v>
      </c>
      <c r="C8" s="15" t="s">
        <v>61</v>
      </c>
      <c r="D8" s="14" t="s">
        <v>34</v>
      </c>
      <c r="E8" s="14" t="s">
        <v>3</v>
      </c>
      <c r="F8" s="14" t="s">
        <v>62</v>
      </c>
      <c r="G8" s="15" t="s">
        <v>63</v>
      </c>
      <c r="H8" s="15" t="s">
        <v>64</v>
      </c>
      <c r="I8" s="14" t="s">
        <v>38</v>
      </c>
      <c r="J8" s="14" t="s">
        <v>55</v>
      </c>
      <c r="K8" s="16" t="s">
        <v>40</v>
      </c>
      <c r="L8" s="15"/>
    </row>
    <row r="9" customFormat="false" ht="35.05" hidden="false" customHeight="false" outlineLevel="0" collapsed="false">
      <c r="A9" s="14" t="n">
        <v>4</v>
      </c>
      <c r="B9" s="15" t="s">
        <v>32</v>
      </c>
      <c r="C9" s="15" t="s">
        <v>65</v>
      </c>
      <c r="D9" s="14" t="s">
        <v>34</v>
      </c>
      <c r="E9" s="14" t="s">
        <v>3</v>
      </c>
      <c r="F9" s="14" t="s">
        <v>66</v>
      </c>
      <c r="G9" s="15" t="s">
        <v>44</v>
      </c>
      <c r="H9" s="15" t="s">
        <v>67</v>
      </c>
      <c r="I9" s="14" t="s">
        <v>38</v>
      </c>
      <c r="J9" s="14" t="s">
        <v>46</v>
      </c>
      <c r="K9" s="16" t="s">
        <v>40</v>
      </c>
      <c r="L9" s="15" t="s">
        <v>47</v>
      </c>
    </row>
    <row r="10" customFormat="false" ht="23.85" hidden="false" customHeight="false" outlineLevel="0" collapsed="false">
      <c r="A10" s="14" t="n">
        <v>5</v>
      </c>
      <c r="B10" s="15" t="s">
        <v>32</v>
      </c>
      <c r="C10" s="15" t="s">
        <v>68</v>
      </c>
      <c r="D10" s="14" t="s">
        <v>34</v>
      </c>
      <c r="E10" s="14" t="s">
        <v>3</v>
      </c>
      <c r="F10" s="14" t="s">
        <v>35</v>
      </c>
      <c r="G10" s="15" t="s">
        <v>36</v>
      </c>
      <c r="H10" s="15" t="s">
        <v>69</v>
      </c>
      <c r="I10" s="14" t="s">
        <v>38</v>
      </c>
      <c r="J10" s="14" t="s">
        <v>39</v>
      </c>
      <c r="K10" s="16" t="s">
        <v>40</v>
      </c>
      <c r="L10" s="15"/>
    </row>
    <row r="11" customFormat="false" ht="23.85" hidden="false" customHeight="false" outlineLevel="0" collapsed="false">
      <c r="A11" s="14" t="n">
        <v>6</v>
      </c>
      <c r="B11" s="15" t="s">
        <v>70</v>
      </c>
      <c r="C11" s="15" t="s">
        <v>71</v>
      </c>
      <c r="D11" s="14" t="s">
        <v>72</v>
      </c>
      <c r="E11" s="14" t="s">
        <v>3</v>
      </c>
      <c r="F11" s="14" t="s">
        <v>73</v>
      </c>
      <c r="G11" s="15" t="s">
        <v>74</v>
      </c>
      <c r="H11" s="15" t="s">
        <v>75</v>
      </c>
      <c r="I11" s="14" t="s">
        <v>38</v>
      </c>
      <c r="J11" s="14" t="s">
        <v>76</v>
      </c>
      <c r="K11" s="16" t="s">
        <v>40</v>
      </c>
      <c r="L11" s="15"/>
    </row>
    <row r="12" customFormat="false" ht="15" hidden="false" customHeight="false" outlineLevel="0" collapsed="false">
      <c r="A12" s="12" t="s">
        <v>77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23.85" hidden="false" customHeight="false" outlineLevel="0" collapsed="false">
      <c r="A13" s="14" t="n">
        <v>7</v>
      </c>
      <c r="B13" s="15" t="s">
        <v>78</v>
      </c>
      <c r="C13" s="15" t="s">
        <v>79</v>
      </c>
      <c r="D13" s="14" t="s">
        <v>80</v>
      </c>
      <c r="E13" s="14" t="s">
        <v>3</v>
      </c>
      <c r="F13" s="14" t="s">
        <v>81</v>
      </c>
      <c r="G13" s="15" t="s">
        <v>74</v>
      </c>
      <c r="H13" s="15" t="s">
        <v>82</v>
      </c>
      <c r="I13" s="14" t="s">
        <v>83</v>
      </c>
      <c r="J13" s="14" t="s">
        <v>55</v>
      </c>
      <c r="K13" s="16" t="s">
        <v>40</v>
      </c>
      <c r="L13" s="15"/>
    </row>
  </sheetData>
  <autoFilter ref="A4:L13"/>
  <conditionalFormatting sqref="E5:E13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0" r:id="rId5" display="Apply ↗"/>
    <hyperlink ref="K11" r:id="rId6" display="Apply ↗"/>
    <hyperlink ref="K13" r:id="rId7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84</v>
      </c>
    </row>
    <row r="2" customFormat="false" ht="15" hidden="false" customHeight="false" outlineLevel="0" collapsed="false">
      <c r="A2" s="11" t="s">
        <v>18</v>
      </c>
    </row>
    <row r="4" customFormat="false" ht="25.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customFormat="false" ht="15" hidden="false" customHeight="false" outlineLevel="0" collapsed="false">
      <c r="A5" s="12" t="s">
        <v>31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46.25" hidden="false" customHeight="false" outlineLevel="0" collapsed="false">
      <c r="A6" s="14" t="n">
        <v>1</v>
      </c>
      <c r="B6" s="15" t="s">
        <v>85</v>
      </c>
      <c r="C6" s="15" t="s">
        <v>86</v>
      </c>
      <c r="D6" s="14" t="s">
        <v>87</v>
      </c>
      <c r="E6" s="14" t="s">
        <v>3</v>
      </c>
      <c r="F6" s="14" t="s">
        <v>88</v>
      </c>
      <c r="G6" s="15" t="s">
        <v>89</v>
      </c>
      <c r="H6" s="15" t="s">
        <v>90</v>
      </c>
      <c r="I6" s="14" t="s">
        <v>38</v>
      </c>
      <c r="J6" s="14" t="s">
        <v>55</v>
      </c>
      <c r="K6" s="16" t="s">
        <v>40</v>
      </c>
      <c r="L6" s="15" t="s">
        <v>91</v>
      </c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92</v>
      </c>
    </row>
    <row r="2" customFormat="false" ht="15" hidden="false" customHeight="false" outlineLevel="0" collapsed="false">
      <c r="A2" s="11" t="s">
        <v>18</v>
      </c>
    </row>
    <row r="4" customFormat="false" ht="25.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customFormat="false" ht="15" hidden="false" customHeight="false" outlineLevel="0" collapsed="false">
      <c r="A5" s="12" t="s">
        <v>31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35.05" hidden="false" customHeight="false" outlineLevel="0" collapsed="false">
      <c r="A6" s="14" t="n">
        <v>1</v>
      </c>
      <c r="B6" s="15" t="s">
        <v>32</v>
      </c>
      <c r="C6" s="15" t="s">
        <v>93</v>
      </c>
      <c r="D6" s="14" t="s">
        <v>34</v>
      </c>
      <c r="E6" s="14" t="s">
        <v>3</v>
      </c>
      <c r="F6" s="14" t="s">
        <v>94</v>
      </c>
      <c r="G6" s="15" t="s">
        <v>95</v>
      </c>
      <c r="H6" s="15" t="s">
        <v>96</v>
      </c>
      <c r="I6" s="14" t="s">
        <v>38</v>
      </c>
      <c r="J6" s="14" t="s">
        <v>39</v>
      </c>
      <c r="K6" s="16" t="s">
        <v>40</v>
      </c>
      <c r="L6" s="15"/>
    </row>
    <row r="7" customFormat="false" ht="15" hidden="false" customHeight="false" outlineLevel="0" collapsed="false">
      <c r="A7" s="12" t="s">
        <v>77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customFormat="false" ht="46.25" hidden="false" customHeight="false" outlineLevel="0" collapsed="false">
      <c r="A8" s="14" t="n">
        <v>2</v>
      </c>
      <c r="B8" s="15" t="s">
        <v>97</v>
      </c>
      <c r="C8" s="15" t="s">
        <v>98</v>
      </c>
      <c r="D8" s="14" t="s">
        <v>99</v>
      </c>
      <c r="E8" s="14" t="s">
        <v>3</v>
      </c>
      <c r="F8" s="14" t="s">
        <v>100</v>
      </c>
      <c r="G8" s="15" t="s">
        <v>101</v>
      </c>
      <c r="H8" s="15" t="s">
        <v>102</v>
      </c>
      <c r="I8" s="14" t="s">
        <v>103</v>
      </c>
      <c r="J8" s="14" t="s">
        <v>46</v>
      </c>
      <c r="K8" s="16" t="s">
        <v>40</v>
      </c>
      <c r="L8" s="15" t="s">
        <v>104</v>
      </c>
    </row>
    <row r="9" customFormat="false" ht="15" hidden="false" customHeight="false" outlineLevel="0" collapsed="false">
      <c r="A9" s="12" t="s">
        <v>105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customFormat="false" ht="23.85" hidden="false" customHeight="false" outlineLevel="0" collapsed="false">
      <c r="A10" s="14" t="n">
        <v>3</v>
      </c>
      <c r="B10" s="15" t="s">
        <v>106</v>
      </c>
      <c r="C10" s="15" t="s">
        <v>107</v>
      </c>
      <c r="D10" s="14" t="s">
        <v>108</v>
      </c>
      <c r="E10" s="14" t="s">
        <v>3</v>
      </c>
      <c r="F10" s="14" t="s">
        <v>109</v>
      </c>
      <c r="G10" s="15" t="s">
        <v>110</v>
      </c>
      <c r="H10" s="15" t="s">
        <v>111</v>
      </c>
      <c r="I10" s="14" t="s">
        <v>112</v>
      </c>
      <c r="J10" s="14" t="s">
        <v>55</v>
      </c>
      <c r="K10" s="16" t="s">
        <v>40</v>
      </c>
      <c r="L10" s="15"/>
    </row>
  </sheetData>
  <autoFilter ref="A4:L10"/>
  <conditionalFormatting sqref="E5:E10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8" r:id="rId2" display="Apply ↗"/>
    <hyperlink ref="K10" r:id="rId3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0" t="s">
        <v>113</v>
      </c>
    </row>
    <row r="2" customFormat="false" ht="15" hidden="false" customHeight="false" outlineLevel="0" collapsed="false">
      <c r="A2" s="11" t="s">
        <v>114</v>
      </c>
    </row>
    <row r="4" customFormat="false" ht="25.5" hidden="false" customHeight="true" outlineLevel="0" collapsed="false">
      <c r="A4" s="3" t="s">
        <v>19</v>
      </c>
      <c r="B4" s="3" t="s">
        <v>115</v>
      </c>
      <c r="C4" s="3" t="s">
        <v>21</v>
      </c>
      <c r="D4" s="3" t="s">
        <v>116</v>
      </c>
      <c r="E4" s="3" t="s">
        <v>117</v>
      </c>
      <c r="F4" s="3" t="s">
        <v>28</v>
      </c>
      <c r="G4" s="3" t="s">
        <v>118</v>
      </c>
      <c r="H4" s="3" t="s">
        <v>30</v>
      </c>
    </row>
    <row r="5" customFormat="false" ht="15" hidden="false" customHeight="false" outlineLevel="0" collapsed="false">
      <c r="A5" s="12" t="s">
        <v>119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n">
        <v>1</v>
      </c>
      <c r="B6" s="14" t="s">
        <v>120</v>
      </c>
      <c r="C6" s="15" t="s">
        <v>121</v>
      </c>
      <c r="D6" s="14" t="s">
        <v>122</v>
      </c>
      <c r="E6" s="14" t="s">
        <v>123</v>
      </c>
      <c r="F6" s="14" t="s">
        <v>76</v>
      </c>
      <c r="G6" s="16" t="s">
        <v>40</v>
      </c>
      <c r="H6" s="15" t="s">
        <v>124</v>
      </c>
    </row>
    <row r="7" customFormat="false" ht="15" hidden="false" customHeight="false" outlineLevel="0" collapsed="false">
      <c r="A7" s="12" t="s">
        <v>125</v>
      </c>
      <c r="B7" s="13"/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4" t="n">
        <v>2</v>
      </c>
      <c r="B8" s="14" t="s">
        <v>126</v>
      </c>
      <c r="C8" s="15" t="s">
        <v>127</v>
      </c>
      <c r="D8" s="14" t="s">
        <v>128</v>
      </c>
      <c r="E8" s="14" t="s">
        <v>123</v>
      </c>
      <c r="F8" s="14" t="s">
        <v>46</v>
      </c>
      <c r="G8" s="16" t="s">
        <v>40</v>
      </c>
      <c r="H8" s="15" t="s">
        <v>129</v>
      </c>
    </row>
    <row r="9" customFormat="false" ht="23.85" hidden="false" customHeight="false" outlineLevel="0" collapsed="false">
      <c r="A9" s="14" t="n">
        <v>3</v>
      </c>
      <c r="B9" s="14" t="s">
        <v>126</v>
      </c>
      <c r="C9" s="15" t="s">
        <v>130</v>
      </c>
      <c r="D9" s="14" t="s">
        <v>131</v>
      </c>
      <c r="E9" s="14" t="s">
        <v>132</v>
      </c>
      <c r="F9" s="14" t="s">
        <v>46</v>
      </c>
      <c r="G9" s="16" t="s">
        <v>40</v>
      </c>
      <c r="H9" s="15" t="s">
        <v>133</v>
      </c>
    </row>
    <row r="10" customFormat="false" ht="15" hidden="false" customHeight="false" outlineLevel="0" collapsed="false">
      <c r="A10" s="14" t="n">
        <v>4</v>
      </c>
      <c r="B10" s="14" t="s">
        <v>126</v>
      </c>
      <c r="C10" s="15" t="s">
        <v>134</v>
      </c>
      <c r="D10" s="14" t="s">
        <v>128</v>
      </c>
      <c r="E10" s="14" t="s">
        <v>123</v>
      </c>
      <c r="F10" s="14" t="s">
        <v>46</v>
      </c>
      <c r="G10" s="16" t="s">
        <v>40</v>
      </c>
      <c r="H10" s="15" t="s">
        <v>135</v>
      </c>
    </row>
    <row r="11" customFormat="false" ht="15" hidden="false" customHeight="false" outlineLevel="0" collapsed="false">
      <c r="A11" s="12" t="s">
        <v>136</v>
      </c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14" t="n">
        <v>5</v>
      </c>
      <c r="B12" s="14" t="s">
        <v>137</v>
      </c>
      <c r="C12" s="15" t="s">
        <v>138</v>
      </c>
      <c r="D12" s="14" t="s">
        <v>139</v>
      </c>
      <c r="E12" s="14" t="s">
        <v>140</v>
      </c>
      <c r="F12" s="14" t="s">
        <v>46</v>
      </c>
      <c r="G12" s="16" t="s">
        <v>40</v>
      </c>
      <c r="H12" s="15" t="s">
        <v>141</v>
      </c>
    </row>
    <row r="13" customFormat="false" ht="15" hidden="false" customHeight="false" outlineLevel="0" collapsed="false">
      <c r="A13" s="14" t="n">
        <v>6</v>
      </c>
      <c r="B13" s="14" t="s">
        <v>137</v>
      </c>
      <c r="C13" s="15" t="s">
        <v>142</v>
      </c>
      <c r="D13" s="14" t="s">
        <v>143</v>
      </c>
      <c r="E13" s="14" t="s">
        <v>144</v>
      </c>
      <c r="F13" s="14" t="s">
        <v>46</v>
      </c>
      <c r="G13" s="16" t="s">
        <v>40</v>
      </c>
      <c r="H13" s="15" t="s">
        <v>145</v>
      </c>
    </row>
    <row r="14" customFormat="false" ht="15" hidden="false" customHeight="false" outlineLevel="0" collapsed="false">
      <c r="A14" s="12" t="s">
        <v>146</v>
      </c>
      <c r="B14" s="13"/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A15" s="14" t="n">
        <v>7</v>
      </c>
      <c r="B15" s="14" t="s">
        <v>147</v>
      </c>
      <c r="C15" s="15" t="s">
        <v>148</v>
      </c>
      <c r="D15" s="14" t="s">
        <v>149</v>
      </c>
      <c r="E15" s="14" t="s">
        <v>140</v>
      </c>
      <c r="F15" s="14" t="s">
        <v>46</v>
      </c>
      <c r="G15" s="16" t="s">
        <v>40</v>
      </c>
      <c r="H15" s="15" t="s">
        <v>150</v>
      </c>
    </row>
    <row r="16" customFormat="false" ht="15" hidden="false" customHeight="false" outlineLevel="0" collapsed="false">
      <c r="A16" s="14" t="n">
        <v>8</v>
      </c>
      <c r="B16" s="14" t="s">
        <v>147</v>
      </c>
      <c r="C16" s="15" t="s">
        <v>151</v>
      </c>
      <c r="D16" s="14" t="s">
        <v>152</v>
      </c>
      <c r="E16" s="14" t="s">
        <v>140</v>
      </c>
      <c r="F16" s="14" t="s">
        <v>46</v>
      </c>
      <c r="G16" s="16" t="s">
        <v>40</v>
      </c>
      <c r="H16" s="15" t="s">
        <v>153</v>
      </c>
    </row>
    <row r="17" customFormat="false" ht="15" hidden="false" customHeight="false" outlineLevel="0" collapsed="false">
      <c r="A17" s="12" t="s">
        <v>154</v>
      </c>
      <c r="B17" s="13"/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14" t="n">
        <v>9</v>
      </c>
      <c r="B18" s="14" t="s">
        <v>155</v>
      </c>
      <c r="C18" s="15" t="s">
        <v>156</v>
      </c>
      <c r="D18" s="14" t="s">
        <v>131</v>
      </c>
      <c r="E18" s="14" t="s">
        <v>132</v>
      </c>
      <c r="F18" s="14" t="s">
        <v>46</v>
      </c>
      <c r="G18" s="16" t="s">
        <v>40</v>
      </c>
      <c r="H18" s="15" t="s">
        <v>157</v>
      </c>
    </row>
    <row r="19" customFormat="false" ht="15" hidden="false" customHeight="false" outlineLevel="0" collapsed="false">
      <c r="A19" s="14" t="n">
        <v>10</v>
      </c>
      <c r="B19" s="14" t="s">
        <v>155</v>
      </c>
      <c r="C19" s="15" t="s">
        <v>158</v>
      </c>
      <c r="D19" s="14" t="s">
        <v>139</v>
      </c>
      <c r="E19" s="14" t="s">
        <v>140</v>
      </c>
      <c r="F19" s="14" t="s">
        <v>46</v>
      </c>
      <c r="G19" s="16" t="s">
        <v>40</v>
      </c>
      <c r="H19" s="15" t="s">
        <v>159</v>
      </c>
    </row>
    <row r="20" customFormat="false" ht="15" hidden="false" customHeight="false" outlineLevel="0" collapsed="false">
      <c r="A20" s="14" t="n">
        <v>11</v>
      </c>
      <c r="B20" s="14" t="s">
        <v>155</v>
      </c>
      <c r="C20" s="15" t="s">
        <v>160</v>
      </c>
      <c r="D20" s="14" t="s">
        <v>161</v>
      </c>
      <c r="E20" s="14" t="s">
        <v>162</v>
      </c>
      <c r="F20" s="14" t="s">
        <v>46</v>
      </c>
      <c r="G20" s="16" t="s">
        <v>40</v>
      </c>
      <c r="H20" s="15" t="s">
        <v>163</v>
      </c>
    </row>
    <row r="21" customFormat="false" ht="15" hidden="false" customHeight="false" outlineLevel="0" collapsed="false">
      <c r="A21" s="14" t="n">
        <v>12</v>
      </c>
      <c r="B21" s="14" t="s">
        <v>155</v>
      </c>
      <c r="C21" s="15" t="s">
        <v>164</v>
      </c>
      <c r="D21" s="14" t="s">
        <v>165</v>
      </c>
      <c r="E21" s="14" t="s">
        <v>123</v>
      </c>
      <c r="F21" s="14" t="s">
        <v>55</v>
      </c>
      <c r="G21" s="16" t="s">
        <v>40</v>
      </c>
      <c r="H21" s="15" t="s">
        <v>166</v>
      </c>
    </row>
    <row r="22" customFormat="false" ht="15" hidden="false" customHeight="false" outlineLevel="0" collapsed="false">
      <c r="A22" s="12" t="s">
        <v>167</v>
      </c>
      <c r="B22" s="13"/>
      <c r="C22" s="13"/>
      <c r="D22" s="13"/>
      <c r="E22" s="13"/>
      <c r="F22" s="13"/>
      <c r="G22" s="13"/>
      <c r="H22" s="13"/>
    </row>
    <row r="23" customFormat="false" ht="23.85" hidden="false" customHeight="false" outlineLevel="0" collapsed="false">
      <c r="A23" s="14" t="n">
        <v>13</v>
      </c>
      <c r="B23" s="14" t="s">
        <v>168</v>
      </c>
      <c r="C23" s="15" t="s">
        <v>169</v>
      </c>
      <c r="D23" s="14" t="s">
        <v>170</v>
      </c>
      <c r="E23" s="14" t="s">
        <v>171</v>
      </c>
      <c r="F23" s="14" t="s">
        <v>55</v>
      </c>
      <c r="G23" s="16" t="s">
        <v>40</v>
      </c>
      <c r="H23" s="15" t="s">
        <v>172</v>
      </c>
    </row>
    <row r="24" customFormat="false" ht="23.85" hidden="false" customHeight="false" outlineLevel="0" collapsed="false">
      <c r="A24" s="14" t="n">
        <v>14</v>
      </c>
      <c r="B24" s="14" t="s">
        <v>168</v>
      </c>
      <c r="C24" s="15" t="s">
        <v>173</v>
      </c>
      <c r="D24" s="14" t="s">
        <v>170</v>
      </c>
      <c r="E24" s="14" t="s">
        <v>171</v>
      </c>
      <c r="F24" s="14" t="s">
        <v>55</v>
      </c>
      <c r="G24" s="16" t="s">
        <v>40</v>
      </c>
      <c r="H24" s="15" t="s">
        <v>174</v>
      </c>
    </row>
  </sheetData>
  <autoFilter ref="A4:H24"/>
  <hyperlinks>
    <hyperlink ref="G6" r:id="rId1" display="Apply ↗"/>
    <hyperlink ref="G8" r:id="rId2" display="Apply ↗"/>
    <hyperlink ref="G9" r:id="rId3" display="Apply ↗"/>
    <hyperlink ref="G10" r:id="rId4" display="Apply ↗"/>
    <hyperlink ref="G12" r:id="rId5" display="Apply ↗"/>
    <hyperlink ref="G13" r:id="rId6" display="Apply ↗"/>
    <hyperlink ref="G15" r:id="rId7" display="Apply ↗"/>
    <hyperlink ref="G16" r:id="rId8" display="Apply ↗"/>
    <hyperlink ref="G18" r:id="rId9" display="Apply ↗"/>
    <hyperlink ref="G19" r:id="rId10" display="Apply ↗"/>
    <hyperlink ref="G20" r:id="rId11" display="Apply ↗"/>
    <hyperlink ref="G21" r:id="rId12" display="Apply ↗"/>
    <hyperlink ref="G23" r:id="rId13" display="Apply ↗"/>
    <hyperlink ref="G24" r:id="rId14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2026-10-15T07:26:06Z</dcterms:created>
  <dc:creator>openpyxl</dc:creator>
  <dc:description/>
  <dc:language>en-US</dc:language>
  <cp:lastModifiedBy/>
  <dcterms:modified xsi:type="dcterms:W3CDTF">2026-10-15T07:26:06Z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