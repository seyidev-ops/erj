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Languages &amp; Teaching" sheetId="2" state="visible" r:id="rId4"/>
    <sheet name="HR &amp; Legal" sheetId="3" state="visible" r:id="rId5"/>
    <sheet name="Sales &amp; Marketing" sheetId="4" state="visible" r:id="rId6"/>
    <sheet name="Creative &amp; Content" sheetId="5" state="visible" r:id="rId7"/>
    <sheet name="Data &amp; Tech" sheetId="6" state="visible" r:id="rId8"/>
    <sheet name="micro1 Referral" sheetId="7" state="visible" r:id="rId9"/>
  </sheets>
  <definedNames>
    <definedName function="false" hidden="false" localSheetId="4" name="_xlnm.Print_Area" vbProcedure="false">'Creative &amp; Content'!$A$1:$L$13</definedName>
    <definedName function="false" hidden="true" localSheetId="4" name="_xlnm._FilterDatabase" vbProcedure="false">'Creative &amp; Content'!$A$4:$L$13</definedName>
    <definedName function="false" hidden="false" localSheetId="5" name="_xlnm.Print_Area" vbProcedure="false">'Data &amp; Tech'!$A$1:$L$10</definedName>
    <definedName function="false" hidden="true" localSheetId="5" name="_xlnm._FilterDatabase" vbProcedure="false">'Data &amp; Tech'!$A$4:$L$10</definedName>
    <definedName function="false" hidden="false" localSheetId="2" name="_xlnm.Print_Area" vbProcedure="false">'HR &amp; Legal'!$A$1:$L$8</definedName>
    <definedName function="false" hidden="true" localSheetId="2" name="_xlnm._FilterDatabase" vbProcedure="false">'HR &amp; Legal'!$A$4:$L$8</definedName>
    <definedName function="false" hidden="false" localSheetId="1" name="_xlnm.Print_Area" vbProcedure="false">'Languages &amp; Teaching'!$A$1:$L$26</definedName>
    <definedName function="false" hidden="true" localSheetId="1" name="_xlnm._FilterDatabase" vbProcedure="false">'Languages &amp; Teaching'!$A$4:$L$26</definedName>
    <definedName function="false" hidden="false" localSheetId="6" name="_xlnm.Print_Area" vbProcedure="false">'micro1 Referral'!$A$1:$H$18</definedName>
    <definedName function="false" hidden="true" localSheetId="6" name="_xlnm._FilterDatabase" vbProcedure="false">'micro1 Referral'!$A$4:$H$18</definedName>
    <definedName function="false" hidden="false" localSheetId="3" name="_xlnm.Print_Area" vbProcedure="false">'Sales &amp; Marketing'!$A$1:$L$8</definedName>
    <definedName function="false" hidden="true" localSheetId="3" name="_xlnm._FilterDatabase" vbProcedure="false">'Sales &amp; Marketing'!$A$4:$L$8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<sst xmlns="http://schemas.openxmlformats.org/spreadsheetml/2006/main" count="520" uniqueCount="211">
  <si>
    <t xml:space="preserve">ERJ Remote Job Search Sheet — 8 Oct 2026</t>
  </si>
  <si>
    <t xml:space="preserve">New roles only (none from the 23 Sep, Oct, 6 Oct or 7 Oct sheets) · priority on thin fields and Yoruba / Igbo / Hausa language work · company pages only, no gated boards</t>
  </si>
  <si>
    <t xml:space="preserve">Tab</t>
  </si>
  <si>
    <t xml:space="preserve">Open — Nigeria eligible</t>
  </si>
  <si>
    <t xml:space="preserve">Check before applying</t>
  </si>
  <si>
    <t xml:space="preserve">Total</t>
  </si>
  <si>
    <t xml:space="preserve">Languages &amp; Teaching</t>
  </si>
  <si>
    <t xml:space="preserve">HR &amp; Legal</t>
  </si>
  <si>
    <t xml:space="preserve">Sales &amp; Marketing</t>
  </si>
  <si>
    <t xml:space="preserve">Creative &amp; Content</t>
  </si>
  <si>
    <t xml:space="preserve">Data &amp; Tech</t>
  </si>
  <si>
    <t xml:space="preserve">micro1 Referral</t>
  </si>
  <si>
    <t xml:space="preserve">Notes</t>
  </si>
  <si>
    <t xml:space="preserve">• Languages &amp; Teaching is new. It covers paid Yoruba, Igbo and Hausa work: xAI AI Tutors open worldwide, LILT writers for Nigeria, Remotasks Igbo writers, and other African-language linguist roles (Wolof, Somali, Oromo, Shona, Malagasy). It also lists four talent pools and two tutoring platforms (Preply, italki) where you can teach the language directly.</t>
  </si>
  <si>
    <t xml:space="preserve">• Talent pools (Welo, RWS) are not live vacancies. Joining means you are contacted when a project in your language opens, so apply early.</t>
  </si>
  <si>
    <t xml:space="preserve">• Thin fields this round: legal (xAI Legal &amp; Compliance AI Tutor, open to qualified lawyers worldwide), HR (GiveDirectly Senior Recruiter, Africa-based). No new customer support, VA, admin or data-entry roles open to Nigeria turned up on company career pages this week. Every one found was a repeat of an earlier sheet or limited to LatAm, South Africa or the US, so there is no Customer Support tab this time.</t>
  </si>
  <si>
    <t xml:space="preserve">• Jobgether rows are posted on Lever for partner companies that want someone based in Nigeria. micro1 rows all link to your referral page. Roles needing languages other than English (Korean, Japanese, Dutch etc.) were left out.</t>
  </si>
  <si>
    <t xml:space="preserve">• Excluded after checking: Briefcase Legal Support (Spanish required), Voxidea paralegal (Latin America only), Freshprints CSM (South Africa only), Pearl support associate (Latin America only), Scale Army HR Representative (Nigeria not listed), Quantum/Deloitte Hausa newscaster (on-site Abuja, 2025 post), and "work from anywhere" travel-agent schemes.</t>
  </si>
  <si>
    <t xml:space="preserve">Languages &amp; Teaching — new remote roles open to Nigeria (8 Oct 2026)</t>
  </si>
  <si>
    <t xml:space="preserve">From company career pages (Ashby, Greenhouse, Lever, Workable) and official teaching platforms. Nothing here appears on any earlier ERJ sheet.</t>
  </si>
  <si>
    <t xml:space="preserve">#</t>
  </si>
  <si>
    <t xml:space="preserve">Who can apply</t>
  </si>
  <si>
    <t xml:space="preserve">Role</t>
  </si>
  <si>
    <t xml:space="preserve">Company</t>
  </si>
  <si>
    <t xml:space="preserve">Status</t>
  </si>
  <si>
    <t xml:space="preserve">Level</t>
  </si>
  <si>
    <t xml:space="preserve">Pay (as listed)</t>
  </si>
  <si>
    <t xml:space="preserve">Key requirements</t>
  </si>
  <si>
    <t xml:space="preserve">ATS</t>
  </si>
  <si>
    <t xml:space="preserve">Posted</t>
  </si>
  <si>
    <t xml:space="preserve">Apply link</t>
  </si>
  <si>
    <t xml:space="preserve">Note</t>
  </si>
  <si>
    <t xml:space="preserve">▸ Worldwide / global</t>
  </si>
  <si>
    <t xml:space="preserve">Remote (any country not under sanctions)</t>
  </si>
  <si>
    <t xml:space="preserve">Linguist - Malagasy - UI Technical / Marketing</t>
  </si>
  <si>
    <t xml:space="preserve">LILT</t>
  </si>
  <si>
    <t xml:space="preserve">Professional</t>
  </si>
  <si>
    <t xml:space="preserve">Not listed</t>
  </si>
  <si>
    <t xml:space="preserve">Native Malagasy; pro translation experience</t>
  </si>
  <si>
    <t xml:space="preserve">Ashby</t>
  </si>
  <si>
    <t xml:space="preserve">Oct 2026</t>
  </si>
  <si>
    <t xml:space="preserve">Apply ↗</t>
  </si>
  <si>
    <t xml:space="preserve">Linguist - Oromo - UI Technical / Marketing</t>
  </si>
  <si>
    <t xml:space="preserve">Native Oromo; pro translation experience</t>
  </si>
  <si>
    <t xml:space="preserve">Linguist - Shona - UI Technical / Marketing</t>
  </si>
  <si>
    <t xml:space="preserve">Native Shona; pro translation experience</t>
  </si>
  <si>
    <t xml:space="preserve">Linguist - Somali - UI Technical / Marketing</t>
  </si>
  <si>
    <t xml:space="preserve">Native Somali; pro translation experience; may need a test</t>
  </si>
  <si>
    <t xml:space="preserve">Linguist - Wolof - UI Technical / Marketing</t>
  </si>
  <si>
    <t xml:space="preserve">Native Wolof; translation degree or 2–5 yrs pro translation; UI/marketing localisation</t>
  </si>
  <si>
    <t xml:space="preserve">Remote, global (US preferred)</t>
  </si>
  <si>
    <t xml:space="preserve">AI Training for Igbo Writers</t>
  </si>
  <si>
    <t xml:space="preserve">Remotasks (Scale AI)</t>
  </si>
  <si>
    <t xml:space="preserve">Writer</t>
  </si>
  <si>
    <t xml:space="preserve">Up to $17/hr (varies by country)</t>
  </si>
  <si>
    <t xml:space="preserve">Igbo writing experts only; rank AI answers, write short stories, fact-check; weekly pay; flexible hours</t>
  </si>
  <si>
    <t xml:space="preserve">Greenhouse</t>
  </si>
  <si>
    <t xml:space="preserve">Sep 2026</t>
  </si>
  <si>
    <t xml:space="preserve">Worldwide (any country)</t>
  </si>
  <si>
    <t xml:space="preserve">AI Tutor - Hausa</t>
  </si>
  <si>
    <t xml:space="preserve">SpaceXAI (xAI)</t>
  </si>
  <si>
    <t xml:space="preserve">Native speaker</t>
  </si>
  <si>
    <t xml:space="preserve">US $35–45/hr; intl at interview</t>
  </si>
  <si>
    <t xml:space="preserve">Native Hausa + English B2+; audio labelling, translation, voice recording. Remote International; full-time, part-time or contract; about 10 hrs/week on contract; Windows 10+/Mac/Chromebook</t>
  </si>
  <si>
    <t xml:space="preserve">AI Tutor - Igbo</t>
  </si>
  <si>
    <t xml:space="preserve">Intl pay shared at interview</t>
  </si>
  <si>
    <t xml:space="preserve">Native Igbo + English B2+; audio labelling, translation, voice recording. Remote International; full-time, part-time or contract; about 10 hrs/week on contract; Windows 10+/Mac/Chromebook</t>
  </si>
  <si>
    <t xml:space="preserve">AI Tutor - Yoruba</t>
  </si>
  <si>
    <t xml:space="preserve">Native Yoruba + English B2+; label Yoruba audio, translate UI text, record voice samples. Remote International; full-time, part-time or contract; about 10 hrs/week on contract; Windows 10+/Mac/Chromebook</t>
  </si>
  <si>
    <t xml:space="preserve">▸ Nigeria-based remote</t>
  </si>
  <si>
    <t xml:space="preserve">Nigeria-based (remote)</t>
  </si>
  <si>
    <t xml:space="preserve">Content Writer - Hausa</t>
  </si>
  <si>
    <t xml:space="preserve">Native-level Hausa writing; subject expertise; contract</t>
  </si>
  <si>
    <t xml:space="preserve">Content Writer - Igbo</t>
  </si>
  <si>
    <t xml:space="preserve">Native-level Igbo writing; subject expertise; contract</t>
  </si>
  <si>
    <t xml:space="preserve">Content Writer - Naija (Nigerian Pidgin)</t>
  </si>
  <si>
    <t xml:space="preserve">Native-level Naija/Pidgin writing; subject expertise; contract</t>
  </si>
  <si>
    <t xml:space="preserve">Nigeria, Canada, UK, USA (remote)</t>
  </si>
  <si>
    <t xml:space="preserve">Content Writer - Yoruba</t>
  </si>
  <si>
    <t xml:space="preserve">Not listed ("competitive, prompt payments")</t>
  </si>
  <si>
    <t xml:space="preserve">Native-level Yoruba writing; subject expertise (law, business, religion, poetry etc.); min ~10 hrs/week</t>
  </si>
  <si>
    <t xml:space="preserve">▸ Talent pool / teaching platform</t>
  </si>
  <si>
    <t xml:space="preserve">Online tutor - Yoruba, Igbo or Hausa (also English)</t>
  </si>
  <si>
    <t xml:space="preserve">Preply</t>
  </si>
  <si>
    <t xml:space="preserve">Any</t>
  </si>
  <si>
    <t xml:space="preserve">You set your rate (Nigerian tutors list about $7–17/lesson)</t>
  </si>
  <si>
    <t xml:space="preserve">Create a tutor profile and intro video; ~109 Igbo tutors already active, so demand exists</t>
  </si>
  <si>
    <t xml:space="preserve">Company site</t>
  </si>
  <si>
    <t xml:space="preserve">Always open</t>
  </si>
  <si>
    <t xml:space="preserve">Platform: you find your own students; Preply takes a commission</t>
  </si>
  <si>
    <t xml:space="preserve">TrainAI global talent pool (Yoruba, Igbo, Hausa listed)</t>
  </si>
  <si>
    <t xml:space="preserve">RWS TrainAI</t>
  </si>
  <si>
    <t xml:space="preserve">Per project</t>
  </si>
  <si>
    <t xml:space="preserve">Pick your language(s) on the form; AI data, transcription, rating projects</t>
  </si>
  <si>
    <t xml:space="preserve">Lever</t>
  </si>
  <si>
    <t xml:space="preserve">Ongoing</t>
  </si>
  <si>
    <t xml:space="preserve">Talent pool, not a live vacancy: you are contacted when a project fits</t>
  </si>
  <si>
    <t xml:space="preserve">Nigeria (also tagged Remote, Worldwide)</t>
  </si>
  <si>
    <t xml:space="preserve">AI Trainers Network - Hausa</t>
  </si>
  <si>
    <t xml:space="preserve">Welo Data (Welo Global)</t>
  </si>
  <si>
    <t xml:space="preserve">Entry level</t>
  </si>
  <si>
    <t xml:space="preserve">Native Hausa + English; annotation, rating, prompt writing</t>
  </si>
  <si>
    <t xml:space="preserve">AI Trainers Network - Igbo</t>
  </si>
  <si>
    <t xml:space="preserve">Native Igbo + English; annotation, rating, prompt writing</t>
  </si>
  <si>
    <t xml:space="preserve">AI Trainers Network - Yoruba</t>
  </si>
  <si>
    <t xml:space="preserve">Native Yoruba + English; annotate text/audio, rate chatbot answers, write prompts</t>
  </si>
  <si>
    <t xml:space="preserve">Community Tutor or Professional Teacher - Yoruba, Igbo, Hausa</t>
  </si>
  <si>
    <t xml:space="preserve">italki</t>
  </si>
  <si>
    <t xml:space="preserve">You set your rate</t>
  </si>
  <si>
    <t xml:space="preserve">Community Tutor needs no certificate; check that your language is open for applications</t>
  </si>
  <si>
    <t xml:space="preserve">Platform: you find your own students; italki takes a commission</t>
  </si>
  <si>
    <t xml:space="preserve">HR &amp; Legal — new remote roles open to Nigeria (8 Oct 2026)</t>
  </si>
  <si>
    <t xml:space="preserve">AI Tutor - Legal &amp; Compliance</t>
  </si>
  <si>
    <t xml:space="preserve">2+ yrs practice</t>
  </si>
  <si>
    <t xml:space="preserve">US $50–100/hr; intl at interview</t>
  </si>
  <si>
    <t xml:space="preserve">Law degree (J.D. or foreign equivalent, e.g. LLB + BL) + bar admission; corporate, IP, privacy, employment, tax or immigration law</t>
  </si>
  <si>
    <t xml:space="preserve">▸ Region list incl. Nigeria</t>
  </si>
  <si>
    <t xml:space="preserve">Based on the African continent</t>
  </si>
  <si>
    <t xml:space="preserve">Senior Recruiter (Talent Acquisition)</t>
  </si>
  <si>
    <t xml:space="preserve">GiveDirectly</t>
  </si>
  <si>
    <t xml:space="preserve">Senior</t>
  </si>
  <si>
    <t xml:space="preserve">Kenya benchmark $83.8k base (+10% bonus)</t>
  </si>
  <si>
    <t xml:space="preserve">5+ yrs recruiting for NGOs/scale-ups; outbound sourcing; recent sub-Saharan Africa hiring</t>
  </si>
  <si>
    <t xml:space="preserve">Sales &amp; Marketing — new remote roles open to Nigeria (8 Oct 2026)</t>
  </si>
  <si>
    <t xml:space="preserve">Egypt, Argentina, Ethiopia, Nigeria, South Africa</t>
  </si>
  <si>
    <t xml:space="preserve">Inside Sales Representative</t>
  </si>
  <si>
    <t xml:space="preserve">Scale Army</t>
  </si>
  <si>
    <t xml:space="preserve">See posting</t>
  </si>
  <si>
    <t xml:space="preserve">$1.2k–1.5k/mo + commission</t>
  </si>
  <si>
    <t xml:space="preserve">Contract; US business hours</t>
  </si>
  <si>
    <t xml:space="preserve">Business Development Manager</t>
  </si>
  <si>
    <t xml:space="preserve">Jobgether (partner company)</t>
  </si>
  <si>
    <t xml:space="preserve">Manager</t>
  </si>
  <si>
    <t xml:space="preserve">Full-time remote; listed for a partner company</t>
  </si>
  <si>
    <t xml:space="preserve">Creative &amp; Content — new remote roles open to Nigeria (8 Oct 2026)</t>
  </si>
  <si>
    <t xml:space="preserve">AI Tutor - Design</t>
  </si>
  <si>
    <t xml:space="preserve">Designer</t>
  </si>
  <si>
    <t xml:space="preserve">Remote International; full-time, part-time or contract; about 10 hrs/week on contract; Windows 10+/Mac/Chromebook</t>
  </si>
  <si>
    <t xml:space="preserve">AI Tutor - Humanities</t>
  </si>
  <si>
    <t xml:space="preserve">Graduate-level</t>
  </si>
  <si>
    <t xml:space="preserve">AI Tutor - Video</t>
  </si>
  <si>
    <t xml:space="preserve">AI Tutor - Video (Weekend)</t>
  </si>
  <si>
    <t xml:space="preserve">Weekend shifts. Remote International; full-time, part-time or contract; about 10 hrs/week on contract; Windows 10+/Mac/Chromebook</t>
  </si>
  <si>
    <t xml:space="preserve">AI Tutor - Writing</t>
  </si>
  <si>
    <t xml:space="preserve">Strong writer</t>
  </si>
  <si>
    <t xml:space="preserve">Social Media Content Manager</t>
  </si>
  <si>
    <t xml:space="preserve">$1.2k/mo</t>
  </si>
  <si>
    <t xml:space="preserve">Contract; US clients</t>
  </si>
  <si>
    <t xml:space="preserve">Video Editor</t>
  </si>
  <si>
    <t xml:space="preserve">$1.5k–1.8k/mo</t>
  </si>
  <si>
    <t xml:space="preserve">Data &amp; Tech — new remote roles open to Nigeria (8 Oct 2026)</t>
  </si>
  <si>
    <t xml:space="preserve">Remote (EMEA)</t>
  </si>
  <si>
    <t xml:space="preserve">Project Coordinator EMEA, Production</t>
  </si>
  <si>
    <t xml:space="preserve">Junior-mid</t>
  </si>
  <si>
    <t xml:space="preserve">Contract; localisation production coordination</t>
  </si>
  <si>
    <t xml:space="preserve">EMEA covers Nigeria, but confirm on the page</t>
  </si>
  <si>
    <t xml:space="preserve">Global (remote); also Argentina, Mexico, Poland, Taiwan, UAE</t>
  </si>
  <si>
    <t xml:space="preserve">Project Manager, Applied AI</t>
  </si>
  <si>
    <t xml:space="preserve">Mid</t>
  </si>
  <si>
    <t xml:space="preserve">Contract; AI data project delivery</t>
  </si>
  <si>
    <t xml:space="preserve">Location says Global, but confirm on the page</t>
  </si>
  <si>
    <t xml:space="preserve">AI Tutor - Software Engineering</t>
  </si>
  <si>
    <t xml:space="preserve">Engineer</t>
  </si>
  <si>
    <t xml:space="preserve">Senior Data Engineer (Python / AWS / ML Pipelines)</t>
  </si>
  <si>
    <t xml:space="preserve">Python, AWS, ML pipelines</t>
  </si>
  <si>
    <t xml:space="preserve">micro1 — new roles on your referral link (8 Oct 2026)</t>
  </si>
  <si>
    <t xml:space="preserve">Each "Apply ↗" opens that exact micro1 job with your referral code built in, so applications are credited to you (a few older roles open the general referral page; see Note).</t>
  </si>
  <si>
    <t xml:space="preserve">Field</t>
  </si>
  <si>
    <t xml:space="preserve">Pay (per hour, as listed)</t>
  </si>
  <si>
    <t xml:space="preserve">Openings</t>
  </si>
  <si>
    <t xml:space="preserve">Apply via referral</t>
  </si>
  <si>
    <t xml:space="preserve">▸ Software &amp; Data</t>
  </si>
  <si>
    <t xml:space="preserve">Software &amp; Data</t>
  </si>
  <si>
    <t xml:space="preserve">Senior Data Analyst</t>
  </si>
  <si>
    <t xml:space="preserve">$50–80/hr</t>
  </si>
  <si>
    <t xml:space="preserve">30</t>
  </si>
  <si>
    <t xml:space="preserve">8 Oct</t>
  </si>
  <si>
    <t xml:space="preserve">Senior Mobile Developer</t>
  </si>
  <si>
    <t xml:space="preserve">$50–100/hr</t>
  </si>
  <si>
    <t xml:space="preserve">100</t>
  </si>
  <si>
    <t xml:space="preserve">7 Oct</t>
  </si>
  <si>
    <t xml:space="preserve">QA Engineer – 2D &amp; Creative Applications</t>
  </si>
  <si>
    <t xml:space="preserve">$90–175/hr</t>
  </si>
  <si>
    <t xml:space="preserve">▸ AI Training &amp; Admin</t>
  </si>
  <si>
    <t xml:space="preserve">AI Training &amp; Admin</t>
  </si>
  <si>
    <t xml:space="preserve">Imagery Analyst - AI/ML Training Data</t>
  </si>
  <si>
    <t xml:space="preserve">$20–60/hr</t>
  </si>
  <si>
    <t xml:space="preserve">10</t>
  </si>
  <si>
    <t xml:space="preserve">▸ HR &amp; Recruiting</t>
  </si>
  <si>
    <t xml:space="preserve">HR &amp; Recruiting</t>
  </si>
  <si>
    <t xml:space="preserve">Recruitment Marketing Specialist</t>
  </si>
  <si>
    <t xml:space="preserve">$20–40/hr</t>
  </si>
  <si>
    <t xml:space="preserve">1</t>
  </si>
  <si>
    <t xml:space="preserve">▸ Finance</t>
  </si>
  <si>
    <t xml:space="preserve">Finance</t>
  </si>
  <si>
    <t xml:space="preserve">Equity/Investment Research Analyst</t>
  </si>
  <si>
    <t xml:space="preserve">$175–300/hr</t>
  </si>
  <si>
    <t xml:space="preserve">25</t>
  </si>
  <si>
    <t xml:space="preserve">Federal Staff Reporting Analyst</t>
  </si>
  <si>
    <t xml:space="preserve">$40–80/hr</t>
  </si>
  <si>
    <t xml:space="preserve">50</t>
  </si>
  <si>
    <t xml:space="preserve">6 Oct</t>
  </si>
  <si>
    <t xml:space="preserve">Likely needs US federal reporting experience</t>
  </si>
  <si>
    <t xml:space="preserve">▸ Health &amp; Science</t>
  </si>
  <si>
    <t xml:space="preserve">Health &amp; Science</t>
  </si>
  <si>
    <t xml:space="preserve">Medical Coder</t>
  </si>
  <si>
    <t xml:space="preserve">$20–32/hr</t>
  </si>
  <si>
    <t xml:space="preserve">Usually needs a coding certificate (e.g. CPC). Check the posting.</t>
  </si>
  <si>
    <t xml:space="preserve">Medical Doctor - Physician Expert</t>
  </si>
  <si>
    <t xml:space="preserve">Not specified</t>
  </si>
  <si>
    <t xml:space="preserve">Check which licences they accept</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</si>
</sst>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color rgb="FF666666"/>
      <name val="Arial"/>
      <family val="0"/>
      <charset val="1"/>
    </font>
    <font>
      <b val="true"/>
      <sz val="10"/>
      <color rgb="FFFFFFFF"/>
      <name val="Arial"/>
      <family val="0"/>
      <charset val="1"/>
    </font>
    <font>
      <u val="single"/>
      <sz val="10"/>
      <color rgb="FF0563C1"/>
      <name val="Arial"/>
      <family val="0"/>
      <charset val="1"/>
    </font>
    <font>
      <sz val="10"/>
      <name val="Arial"/>
      <family val="0"/>
      <charset val="1"/>
    </font>
    <font>
      <b val="true"/>
      <sz val="11"/>
      <name val="Arial"/>
      <family val="0"/>
      <charset val="1"/>
    </font>
    <font>
      <b val="true"/>
      <sz val="12"/>
      <name val="Arial"/>
      <family val="0"/>
      <charset val="1"/>
    </font>
    <font>
      <b val="true"/>
      <sz val="14"/>
      <name val="Arial"/>
      <family val="0"/>
      <charset val="1"/>
    </font>
    <font>
      <i val="true"/>
      <sz val="9"/>
      <color rgb="FF666666"/>
      <name val="Arial"/>
      <family val="0"/>
      <charset val="1"/>
    </font>
    <font>
      <b val="true"/>
      <sz val="10"/>
      <color rgb="FFB23A12"/>
      <name val="Arial"/>
      <family val="0"/>
      <charset val="1"/>
    </font>
  </fonts>
  <fills count="4">
    <fill>
      <patternFill patternType="none"/>
    </fill>
    <fill>
      <patternFill patternType="gray125"/>
    </fill>
    <fill>
      <patternFill patternType="solid">
        <fgColor rgb="FF111111"/>
        <bgColor rgb="FF000000"/>
      </patternFill>
    </fill>
    <fill>
      <patternFill patternType="solid">
        <fgColor rgb="FFFDE3D9"/>
        <bgColor rgb="FFFFF2CC"/>
      </patternFill>
    </fill>
  </fills>
  <borders count="2">
    <border diagonalUp="false" diagonalDown="false">
      <left/>
      <right/>
      <top/>
      <bottom/>
      <diagonal/>
    </border>
    <border diagonalUp="false" diagonalDown="false">
      <left/>
      <right/>
      <top/>
      <bottom style="thin">
        <color rgb="FFE3E3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11111"/>
          <bgColor rgb="FF000000"/>
        </patternFill>
      </fill>
    </dxf>
    <dxf>
      <fill>
        <patternFill patternType="solid">
          <fgColor rgb="FFFDE3D9"/>
          <bgColor rgb="FF000000"/>
        </patternFill>
      </fill>
    </dxf>
    <dxf>
      <fill>
        <patternFill patternType="solid">
          <bgColor rgb="FF000000"/>
        </patternFill>
      </fill>
    </dxf>
    <dxf>
      <fill>
        <patternFill patternType="solid">
          <fgColor rgb="FFB23A12"/>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FF3E4"/>
          <bgColor rgb="FF000000"/>
        </patternFill>
      </fill>
    </dxf>
    <dxf>
      <fill>
        <patternFill patternType="solid">
          <fgColor rgb="FFFFF2CC"/>
          <bgColor rgb="FF000000"/>
        </patternFill>
      </fill>
    </dxf>
    <dxf>
      <fill>
        <patternFill patternType="solid">
          <fgColor rgb="FF1E6B34"/>
          <bgColor rgb="FF000000"/>
        </patternFill>
      </fill>
    </dxf>
    <dxf>
      <fill>
        <patternFill patternType="solid">
          <fgColor rgb="FF7A5B00"/>
          <bgColor rgb="FF000000"/>
        </patternFill>
      </fill>
    </dxf>
    <dxf>
      <fill>
        <patternFill patternType="solid">
          <fgColor rgb="FF0563C1"/>
          <bgColor rgb="FF000000"/>
        </patternFill>
      </fill>
    </dxf>
    <dxf>
      <font>
        <name val="Arial"/>
        <charset val="1"/>
        <family val="0"/>
        <b val="1"/>
        <color rgb="FF1E6B34"/>
      </font>
      <fill>
        <patternFill>
          <bgColor rgb="FFDFF3E4"/>
        </patternFill>
      </fill>
    </dxf>
    <dxf>
      <font>
        <name val="Arial"/>
        <charset val="1"/>
        <family val="0"/>
        <color rgb="FF7A5B00"/>
      </font>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1E6B34"/>
      <rgbColor rgb="FF000080"/>
      <rgbColor rgb="FF7A5B00"/>
      <rgbColor rgb="FF800080"/>
      <rgbColor rgb="FF008080"/>
      <rgbColor rgb="FFC0C0C0"/>
      <rgbColor rgb="FF808080"/>
      <rgbColor rgb="FF9999FF"/>
      <rgbColor rgb="FF993366"/>
      <rgbColor rgb="FFFFF2CC"/>
      <rgbColor rgb="FFCCFFFF"/>
      <rgbColor rgb="FF660066"/>
      <rgbColor rgb="FFFF8080"/>
      <rgbColor rgb="FF0563C1"/>
      <rgbColor rgb="FFE3E3E3"/>
      <rgbColor rgb="FF000080"/>
      <rgbColor rgb="FFFF00FF"/>
      <rgbColor rgb="FFFFFF00"/>
      <rgbColor rgb="FF00FFFF"/>
      <rgbColor rgb="FF800080"/>
      <rgbColor rgb="FF800000"/>
      <rgbColor rgb="FF008080"/>
      <rgbColor rgb="FF0000FF"/>
      <rgbColor rgb="FF00CCFF"/>
      <rgbColor rgb="FFCCFFFF"/>
      <rgbColor rgb="FFDFF3E4"/>
      <rgbColor rgb="FFFFFF99"/>
      <rgbColor rgb="FF99CCFF"/>
      <rgbColor rgb="FFFF99CC"/>
      <rgbColor rgb="FFCC99FF"/>
      <rgbColor rgb="FFFDE3D9"/>
      <rgbColor rgb="FF3366FF"/>
      <rgbColor rgb="FF33CCCC"/>
      <rgbColor rgb="FF99CC00"/>
      <rgbColor rgb="FFFFCC00"/>
      <rgbColor rgb="FFFF9900"/>
      <rgbColor rgb="FFFF6600"/>
      <rgbColor rgb="FF666666"/>
      <rgbColor rgb="FF969696"/>
      <rgbColor rgb="FF003366"/>
      <rgbColor rgb="FF339966"/>
      <rgbColor rgb="FF111111"/>
      <rgbColor rgb="FF333300"/>
      <rgbColor rgb="FFB23A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RJ_Search_Sheet_8_Oct_2026.xlsx" TargetMode="External"/><Relationship Id="rId2" Type="http://schemas.openxmlformats.org/officeDocument/2006/relationships/hyperlink" Target="ERJ_Search_Sheet_8_Oct_2026.xlsx" TargetMode="External"/><Relationship Id="rId3" Type="http://schemas.openxmlformats.org/officeDocument/2006/relationships/hyperlink" Target="ERJ_Search_Sheet_8_Oct_2026.xlsx" TargetMode="External"/><Relationship Id="rId4" Type="http://schemas.openxmlformats.org/officeDocument/2006/relationships/hyperlink" Target="ERJ_Search_Sheet_8_Oct_2026.xlsx" TargetMode="External"/><Relationship Id="rId5" Type="http://schemas.openxmlformats.org/officeDocument/2006/relationships/hyperlink" Target="ERJ_Search_Sheet_8_Oct_2026.xlsx" TargetMode="External"/><Relationship Id="rId6" Type="http://schemas.openxmlformats.org/officeDocument/2006/relationships/hyperlink" Target="ERJ_Search_Sheet_8_Oct_2026.xlsx"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jobs.ashbyhq.com/lilt-production/7306497b-d288-4020-8bc1-33e3303d2bc6" TargetMode="External"/><Relationship Id="rId2" Type="http://schemas.openxmlformats.org/officeDocument/2006/relationships/hyperlink" Target="https://jobs.ashbyhq.com/lilt-production/50befeb3-efe6-471b-91a0-438772ea3a64" TargetMode="External"/><Relationship Id="rId3" Type="http://schemas.openxmlformats.org/officeDocument/2006/relationships/hyperlink" Target="https://jobs.ashbyhq.com/lilt-production/d59e7848-a533-451d-91da-34e6ede9543b" TargetMode="External"/><Relationship Id="rId4" Type="http://schemas.openxmlformats.org/officeDocument/2006/relationships/hyperlink" Target="https://jobs.ashbyhq.com/lilt-production/9b98a740-67f8-42d9-972b-14c53eb38d65" TargetMode="External"/><Relationship Id="rId5" Type="http://schemas.openxmlformats.org/officeDocument/2006/relationships/hyperlink" Target="https://jobs.ashbyhq.com/lilt-production/54847e11-6b16-4ede-9cda-93ca63b52bfc" TargetMode="External"/><Relationship Id="rId6" Type="http://schemas.openxmlformats.org/officeDocument/2006/relationships/hyperlink" Target="https://job-boards.greenhouse.io/remotasks/jobs/4280170005" TargetMode="External"/><Relationship Id="rId7" Type="http://schemas.openxmlformats.org/officeDocument/2006/relationships/hyperlink" Target="https://job-boards.greenhouse.io/xai/jobs/5207427007" TargetMode="External"/><Relationship Id="rId8" Type="http://schemas.openxmlformats.org/officeDocument/2006/relationships/hyperlink" Target="https://job-boards.greenhouse.io/xai/jobs/5207584007" TargetMode="External"/><Relationship Id="rId9" Type="http://schemas.openxmlformats.org/officeDocument/2006/relationships/hyperlink" Target="https://job-boards.greenhouse.io/xai/jobs/5207581007" TargetMode="External"/><Relationship Id="rId10" Type="http://schemas.openxmlformats.org/officeDocument/2006/relationships/hyperlink" Target="https://jobs.ashbyhq.com/lilt-production/6f505ef7-6158-42f4-9a5f-a1389a57d46f" TargetMode="External"/><Relationship Id="rId11" Type="http://schemas.openxmlformats.org/officeDocument/2006/relationships/hyperlink" Target="https://jobs.ashbyhq.com/lilt-production/51328e6b-ec2c-4ce0-b284-264558487af5" TargetMode="External"/><Relationship Id="rId12" Type="http://schemas.openxmlformats.org/officeDocument/2006/relationships/hyperlink" Target="https://jobs.ashbyhq.com/lilt-production/767ad6a3-127d-42bf-9d9e-b077336ae2ad" TargetMode="External"/><Relationship Id="rId13" Type="http://schemas.openxmlformats.org/officeDocument/2006/relationships/hyperlink" Target="https://jobs.ashbyhq.com/lilt-production/59035d01-6e8c-451b-83eb-f023ca851fc8" TargetMode="External"/><Relationship Id="rId14" Type="http://schemas.openxmlformats.org/officeDocument/2006/relationships/hyperlink" Target="https://preply.com/en/teach" TargetMode="External"/><Relationship Id="rId15" Type="http://schemas.openxmlformats.org/officeDocument/2006/relationships/hyperlink" Target="https://jobs.lever.co/rws/f4e3ba40-dc02-4f86-a88a-9cc7e7891ede" TargetMode="External"/><Relationship Id="rId16" Type="http://schemas.openxmlformats.org/officeDocument/2006/relationships/hyperlink" Target="https://jobs.lever.co/weloglobal/8c05c2f5-4df1-4310-99f5-11dc8531d73c" TargetMode="External"/><Relationship Id="rId17" Type="http://schemas.openxmlformats.org/officeDocument/2006/relationships/hyperlink" Target="https://jobs.lever.co/weloglobal/33820f32-510e-4dde-9488-bc7f47ad4b3c" TargetMode="External"/><Relationship Id="rId18" Type="http://schemas.openxmlformats.org/officeDocument/2006/relationships/hyperlink" Target="https://jobs.lever.co/weloglobal/05ee9513-d7fe-4b20-b179-9ae8b3dc08cb" TargetMode="External"/><Relationship Id="rId19" Type="http://schemas.openxmlformats.org/officeDocument/2006/relationships/hyperlink" Target="https://teach.italki.com/application" TargetMode="External"/><Relationship Id="rId20"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job-boards.greenhouse.io/xai/jobs/4931315007" TargetMode="External"/><Relationship Id="rId2" Type="http://schemas.openxmlformats.org/officeDocument/2006/relationships/hyperlink" Target="https://job-boards.greenhouse.io/givedirectly/jobs/4738732005" TargetMode="External"/><Relationship Id="rId3"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jobs.ashbyhq.com/scale%20army%20careers/0bf87d5c-2dc4-418e-bdac-f5038cf2a1d3" TargetMode="External"/><Relationship Id="rId2" Type="http://schemas.openxmlformats.org/officeDocument/2006/relationships/hyperlink" Target="https://jobs.lever.co/jobgether/5866bf29-b751-456f-bbff-c88f0194e50c" TargetMode="External"/><Relationship Id="rId3"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job-boards.greenhouse.io/xai/jobs/5227940007" TargetMode="External"/><Relationship Id="rId2" Type="http://schemas.openxmlformats.org/officeDocument/2006/relationships/hyperlink" Target="https://job-boards.greenhouse.io/xai/jobs/5227951007" TargetMode="External"/><Relationship Id="rId3" Type="http://schemas.openxmlformats.org/officeDocument/2006/relationships/hyperlink" Target="https://job-boards.greenhouse.io/xai/jobs/5047564007" TargetMode="External"/><Relationship Id="rId4" Type="http://schemas.openxmlformats.org/officeDocument/2006/relationships/hyperlink" Target="https://job-boards.greenhouse.io/xai/jobs/5236653007" TargetMode="External"/><Relationship Id="rId5" Type="http://schemas.openxmlformats.org/officeDocument/2006/relationships/hyperlink" Target="https://job-boards.greenhouse.io/xai/jobs/5017529007" TargetMode="External"/><Relationship Id="rId6" Type="http://schemas.openxmlformats.org/officeDocument/2006/relationships/hyperlink" Target="https://jobs.ashbyhq.com/scale%20army%20careers/a3c92fbf-3786-4308-8d60-357b3ff495ff" TargetMode="External"/><Relationship Id="rId7" Type="http://schemas.openxmlformats.org/officeDocument/2006/relationships/hyperlink" Target="https://jobs.ashbyhq.com/scale%20army%20careers/02e8ab40-2e56-4cee-a52a-200af9bac0a2" TargetMode="External"/><Relationship Id="rId8"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jobs.ashbyhq.com/lilt-production/abd8231d-ea92-4d12-9480-66cccfc913f7" TargetMode="External"/><Relationship Id="rId2" Type="http://schemas.openxmlformats.org/officeDocument/2006/relationships/hyperlink" Target="https://jobs.ashbyhq.com/lilt-production/61cb6b83-e9c2-41c8-9097-c8246b40b81f" TargetMode="External"/><Relationship Id="rId3" Type="http://schemas.openxmlformats.org/officeDocument/2006/relationships/hyperlink" Target="https://job-boards.greenhouse.io/xai/jobs/5063490007" TargetMode="External"/><Relationship Id="rId4" Type="http://schemas.openxmlformats.org/officeDocument/2006/relationships/hyperlink" Target="https://jobs.lever.co/jobgether/ab886320-4294-49ea-ba19-f72685e75e31" TargetMode="External"/><Relationship Id="rId5"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jobs.micro1.ai/post/0f607154-b56d-4894-9415-9cc861f24d17?referralCode=d3605f74-92f0-4f1c-b8e2-4ab757bffc26" TargetMode="External"/><Relationship Id="rId2" Type="http://schemas.openxmlformats.org/officeDocument/2006/relationships/hyperlink" Target="https://jobs.micro1.ai/post/31dc936e-0f29-441f-baf9-91c2ff9cc7d4?referralCode=d3605f74-92f0-4f1c-b8e2-4ab757bffc26" TargetMode="External"/><Relationship Id="rId3" Type="http://schemas.openxmlformats.org/officeDocument/2006/relationships/hyperlink" Target="https://jobs.micro1.ai/post/0c4c3fc4-e5e3-4d70-9436-4e2c873091a1?referralCode=d3605f74-92f0-4f1c-b8e2-4ab757bffc26" TargetMode="External"/><Relationship Id="rId4" Type="http://schemas.openxmlformats.org/officeDocument/2006/relationships/hyperlink" Target="https://jobs.micro1.ai/post/3ca164ec-a540-4f18-b298-09c54c377eb2?referralCode=d3605f74-92f0-4f1c-b8e2-4ab757bffc26" TargetMode="External"/><Relationship Id="rId5" Type="http://schemas.openxmlformats.org/officeDocument/2006/relationships/hyperlink" Target="https://jobs.micro1.ai/post/479e1aa8-2d92-42b7-a77c-aa83369cece8?referralCode=d3605f74-92f0-4f1c-b8e2-4ab757bffc26" TargetMode="External"/><Relationship Id="rId6" Type="http://schemas.openxmlformats.org/officeDocument/2006/relationships/hyperlink" Target="https://jobs.micro1.ai/post/404112c9-2082-4e4e-b9f1-a04b8a58a317?referralCode=d3605f74-92f0-4f1c-b8e2-4ab757bffc26" TargetMode="External"/><Relationship Id="rId7" Type="http://schemas.openxmlformats.org/officeDocument/2006/relationships/hyperlink" Target="https://jobs.micro1.ai/post/69c7fdc3-5040-48aa-9de9-a3870e1b3069?referralCode=d3605f74-92f0-4f1c-b8e2-4ab757bffc26" TargetMode="External"/><Relationship Id="rId8" Type="http://schemas.openxmlformats.org/officeDocument/2006/relationships/hyperlink" Target="https://jobs.micro1.ai/post/eac2bf43-4fa7-46ed-8db8-ec2b6d3a52d5?referralCode=d3605f74-92f0-4f1c-b8e2-4ab757bffc26" TargetMode="External"/><Relationship Id="rId9" Type="http://schemas.openxmlformats.org/officeDocument/2006/relationships/hyperlink" Target="https://jobs.micro1.ai/post/422d20e5-6f6e-4644-9a9b-53b32b3c1a50?referralCode=d3605f74-92f0-4f1c-b8e2-4ab757bffc26" TargetMode="External"/><Relationship Id="rId10"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8"/>
    <col collapsed="false" customWidth="true" hidden="false" outlineLevel="0" max="4" min="4" style="1" width="10"/>
  </cols>
  <sheetData>
    <row r="1" customFormat="false" ht="19.5" hidden="false" customHeight="true" outlineLevel="0" collapsed="false">
      <c r="A1" s="2" t="s">
        <v>0</v>
      </c>
    </row>
    <row r="2" customFormat="false" ht="15" hidden="false" customHeight="true" outlineLevel="0" collapsed="false">
      <c r="A2" s="3" t="s">
        <v>1</v>
      </c>
    </row>
    <row r="4" customFormat="false" ht="27.75" hidden="false" customHeight="true" outlineLevel="0" collapsed="false">
      <c r="A4" s="4" t="s">
        <v>2</v>
      </c>
      <c r="B4" s="4" t="s">
        <v>3</v>
      </c>
      <c r="C4" s="4" t="s">
        <v>4</v>
      </c>
      <c r="D4" s="4" t="s">
        <v>5</v>
      </c>
    </row>
    <row r="5" customFormat="false" ht="15" hidden="false" customHeight="true" outlineLevel="0" collapsed="false">
      <c r="A5" s="5" t="s">
        <v>6</v>
      </c>
      <c r="B5" s="6" t="n">
        <f aca="false">COUNTIF('Languages &amp; Teaching'!$E$5:$E$26,"Open*")</f>
        <v>13</v>
      </c>
      <c r="C5" s="6" t="n">
        <f aca="false">COUNTIF('Languages &amp; Teaching'!$E$5:$E$26,"Check*")</f>
        <v>6</v>
      </c>
      <c r="D5" s="6" t="n">
        <f aca="false">B5+C5</f>
        <v>19</v>
      </c>
    </row>
    <row r="6" customFormat="false" ht="15" hidden="false" customHeight="true" outlineLevel="0" collapsed="false">
      <c r="A6" s="5" t="s">
        <v>7</v>
      </c>
      <c r="B6" s="6" t="n">
        <f aca="false">COUNTIF('HR &amp; Legal'!$E$5:$E$8,"Open*")</f>
        <v>2</v>
      </c>
      <c r="C6" s="6" t="n">
        <f aca="false">COUNTIF('HR &amp; Legal'!$E$5:$E$8,"Check*")</f>
        <v>0</v>
      </c>
      <c r="D6" s="6" t="n">
        <f aca="false">B6+C6</f>
        <v>2</v>
      </c>
    </row>
    <row r="7" customFormat="false" ht="15" hidden="false" customHeight="true" outlineLevel="0" collapsed="false">
      <c r="A7" s="5" t="s">
        <v>8</v>
      </c>
      <c r="B7" s="6" t="n">
        <f aca="false">COUNTIF('Sales &amp; Marketing'!$E$5:$E$8,"Open*")</f>
        <v>2</v>
      </c>
      <c r="C7" s="6" t="n">
        <f aca="false">COUNTIF('Sales &amp; Marketing'!$E$5:$E$8,"Check*")</f>
        <v>0</v>
      </c>
      <c r="D7" s="6" t="n">
        <f aca="false">B7+C7</f>
        <v>2</v>
      </c>
    </row>
    <row r="8" customFormat="false" ht="15" hidden="false" customHeight="true" outlineLevel="0" collapsed="false">
      <c r="A8" s="5" t="s">
        <v>9</v>
      </c>
      <c r="B8" s="6" t="n">
        <f aca="false">COUNTIF('Creative &amp; Content'!$E$5:$E$13,"Open*")</f>
        <v>7</v>
      </c>
      <c r="C8" s="6" t="n">
        <f aca="false">COUNTIF('Creative &amp; Content'!$E$5:$E$13,"Check*")</f>
        <v>0</v>
      </c>
      <c r="D8" s="6" t="n">
        <f aca="false">B8+C8</f>
        <v>7</v>
      </c>
    </row>
    <row r="9" customFormat="false" ht="15" hidden="false" customHeight="true" outlineLevel="0" collapsed="false">
      <c r="A9" s="5" t="s">
        <v>10</v>
      </c>
      <c r="B9" s="6" t="n">
        <f aca="false">COUNTIF('Data &amp; Tech'!$E$5:$E$10,"Open*")</f>
        <v>2</v>
      </c>
      <c r="C9" s="6" t="n">
        <f aca="false">COUNTIF('Data &amp; Tech'!$E$5:$E$10,"Check*")</f>
        <v>2</v>
      </c>
      <c r="D9" s="6" t="n">
        <f aca="false">B9+C9</f>
        <v>4</v>
      </c>
    </row>
    <row r="10" customFormat="false" ht="15" hidden="false" customHeight="true" outlineLevel="0" collapsed="false">
      <c r="A10" s="5" t="s">
        <v>11</v>
      </c>
      <c r="B10" s="6" t="n">
        <f aca="false">COUNTA('micro1 Referral'!$C$5:$C$18)</f>
        <v>9</v>
      </c>
      <c r="C10" s="6" t="n">
        <v>0</v>
      </c>
      <c r="D10" s="6" t="n">
        <f aca="false">B10+C10</f>
        <v>9</v>
      </c>
    </row>
    <row r="11" customFormat="false" ht="15" hidden="false" customHeight="true" outlineLevel="0" collapsed="false">
      <c r="A11" s="7" t="s">
        <v>5</v>
      </c>
      <c r="B11" s="8" t="n">
        <f aca="false">SUM(B5:B10)</f>
        <v>35</v>
      </c>
      <c r="C11" s="8" t="n">
        <f aca="false">SUM(C5:C10)</f>
        <v>8</v>
      </c>
      <c r="D11" s="8" t="n">
        <f aca="false">SUM(D5:D10)</f>
        <v>43</v>
      </c>
    </row>
    <row r="13" customFormat="false" ht="15" hidden="false" customHeight="true" outlineLevel="0" collapsed="false">
      <c r="A13" s="9" t="s">
        <v>12</v>
      </c>
    </row>
    <row r="14" customFormat="false" ht="57.75" hidden="false" customHeight="true" outlineLevel="0" collapsed="false">
      <c r="A14" s="10" t="s">
        <v>13</v>
      </c>
      <c r="B14" s="10"/>
      <c r="C14" s="10"/>
      <c r="D14" s="10"/>
    </row>
    <row r="15" customFormat="false" ht="57.75" hidden="false" customHeight="true" outlineLevel="0" collapsed="false">
      <c r="A15" s="10" t="s">
        <v>14</v>
      </c>
      <c r="B15" s="10"/>
      <c r="C15" s="10"/>
      <c r="D15" s="10"/>
    </row>
    <row r="16" customFormat="false" ht="57.75" hidden="false" customHeight="true" outlineLevel="0" collapsed="false">
      <c r="A16" s="10" t="s">
        <v>15</v>
      </c>
      <c r="B16" s="10"/>
      <c r="C16" s="10"/>
      <c r="D16" s="10"/>
    </row>
    <row r="17" customFormat="false" ht="57.75" hidden="false" customHeight="true" outlineLevel="0" collapsed="false">
      <c r="A17" s="10" t="s">
        <v>16</v>
      </c>
      <c r="B17" s="10"/>
      <c r="C17" s="10"/>
      <c r="D17" s="10"/>
    </row>
    <row r="18" customFormat="false" ht="57.75" hidden="false" customHeight="true" outlineLevel="0" collapsed="false">
      <c r="A18" s="10" t="s">
        <v>17</v>
      </c>
      <c r="B18" s="10"/>
      <c r="C18" s="10"/>
      <c r="D18" s="10"/>
    </row>
  </sheetData>
  <mergeCells count="5">
    <mergeCell ref="A14:D14"/>
    <mergeCell ref="A15:D15"/>
    <mergeCell ref="A16:D16"/>
    <mergeCell ref="A17:D17"/>
    <mergeCell ref="A18:D18"/>
  </mergeCells>
  <hyperlinks>
    <hyperlink ref="A5" r:id="rId1" location="'Languages%20&amp;%20Teaching'!A1" display="Languages &amp; Teaching"/>
    <hyperlink ref="A6" r:id="rId2" location="'HR%20&amp;%20Legal'!A1" display="HR &amp; Legal"/>
    <hyperlink ref="A7" r:id="rId3" location="'Sales%20&amp;%20Marketing'!A1" display="Sales &amp; Marketing"/>
    <hyperlink ref="A8" r:id="rId4" location="'Creative%20&amp;%20Content'!A1" display="Creative &amp; Content"/>
    <hyperlink ref="A9" r:id="rId5" location="'Data%20&amp;%20Tech'!A1" display="Data &amp; Tech"/>
    <hyperlink ref="A10" r:id="rId6" location="'micro1%20Referral'!A1" display="micro1 Referr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18</v>
      </c>
    </row>
    <row r="2" customFormat="false" ht="15" hidden="false" customHeight="true" outlineLevel="0" collapsed="false">
      <c r="A2" s="12" t="s">
        <v>19</v>
      </c>
    </row>
    <row r="4" customFormat="false" ht="25.5" hidden="false" customHeight="true" outlineLevel="0" collapsed="false">
      <c r="A4" s="4" t="s">
        <v>20</v>
      </c>
      <c r="B4" s="4" t="s">
        <v>21</v>
      </c>
      <c r="C4" s="4" t="s">
        <v>22</v>
      </c>
      <c r="D4" s="4" t="s">
        <v>23</v>
      </c>
      <c r="E4" s="4" t="s">
        <v>24</v>
      </c>
      <c r="F4" s="4" t="s">
        <v>25</v>
      </c>
      <c r="G4" s="4" t="s">
        <v>26</v>
      </c>
      <c r="H4" s="4" t="s">
        <v>27</v>
      </c>
      <c r="I4" s="4" t="s">
        <v>28</v>
      </c>
      <c r="J4" s="4" t="s">
        <v>29</v>
      </c>
      <c r="K4" s="4" t="s">
        <v>30</v>
      </c>
      <c r="L4" s="4" t="s">
        <v>31</v>
      </c>
    </row>
    <row r="5" customFormat="false" ht="15" hidden="false" customHeight="true" outlineLevel="0" collapsed="false">
      <c r="A5" s="13" t="s">
        <v>32</v>
      </c>
      <c r="B5" s="14"/>
      <c r="C5" s="14"/>
      <c r="D5" s="14"/>
      <c r="E5" s="14"/>
      <c r="F5" s="14"/>
      <c r="G5" s="14"/>
      <c r="H5" s="14"/>
      <c r="I5" s="14"/>
      <c r="J5" s="14"/>
      <c r="K5" s="14"/>
      <c r="L5" s="14"/>
    </row>
    <row r="6" customFormat="false" ht="23.25" hidden="false" customHeight="true" outlineLevel="0" collapsed="false">
      <c r="A6" s="15" t="n">
        <v>1</v>
      </c>
      <c r="B6" s="16" t="s">
        <v>33</v>
      </c>
      <c r="C6" s="16" t="s">
        <v>34</v>
      </c>
      <c r="D6" s="15" t="s">
        <v>35</v>
      </c>
      <c r="E6" s="15" t="s">
        <v>3</v>
      </c>
      <c r="F6" s="15" t="s">
        <v>36</v>
      </c>
      <c r="G6" s="16" t="s">
        <v>37</v>
      </c>
      <c r="H6" s="16" t="s">
        <v>38</v>
      </c>
      <c r="I6" s="15" t="s">
        <v>39</v>
      </c>
      <c r="J6" s="15" t="s">
        <v>40</v>
      </c>
      <c r="K6" s="17" t="s">
        <v>41</v>
      </c>
      <c r="L6" s="16"/>
    </row>
    <row r="7" customFormat="false" ht="23.25" hidden="false" customHeight="true" outlineLevel="0" collapsed="false">
      <c r="A7" s="15" t="n">
        <v>2</v>
      </c>
      <c r="B7" s="16" t="s">
        <v>33</v>
      </c>
      <c r="C7" s="16" t="s">
        <v>42</v>
      </c>
      <c r="D7" s="15" t="s">
        <v>35</v>
      </c>
      <c r="E7" s="15" t="s">
        <v>3</v>
      </c>
      <c r="F7" s="15" t="s">
        <v>36</v>
      </c>
      <c r="G7" s="16" t="s">
        <v>37</v>
      </c>
      <c r="H7" s="16" t="s">
        <v>43</v>
      </c>
      <c r="I7" s="15" t="s">
        <v>39</v>
      </c>
      <c r="J7" s="15" t="s">
        <v>40</v>
      </c>
      <c r="K7" s="17" t="s">
        <v>41</v>
      </c>
      <c r="L7" s="16"/>
    </row>
    <row r="8" customFormat="false" ht="23.25" hidden="false" customHeight="true" outlineLevel="0" collapsed="false">
      <c r="A8" s="15" t="n">
        <v>3</v>
      </c>
      <c r="B8" s="16" t="s">
        <v>33</v>
      </c>
      <c r="C8" s="16" t="s">
        <v>44</v>
      </c>
      <c r="D8" s="15" t="s">
        <v>35</v>
      </c>
      <c r="E8" s="15" t="s">
        <v>3</v>
      </c>
      <c r="F8" s="15" t="s">
        <v>36</v>
      </c>
      <c r="G8" s="16" t="s">
        <v>37</v>
      </c>
      <c r="H8" s="16" t="s">
        <v>45</v>
      </c>
      <c r="I8" s="15" t="s">
        <v>39</v>
      </c>
      <c r="J8" s="15" t="s">
        <v>40</v>
      </c>
      <c r="K8" s="17" t="s">
        <v>41</v>
      </c>
      <c r="L8" s="16"/>
    </row>
    <row r="9" customFormat="false" ht="23.25" hidden="false" customHeight="true" outlineLevel="0" collapsed="false">
      <c r="A9" s="15" t="n">
        <v>4</v>
      </c>
      <c r="B9" s="16" t="s">
        <v>33</v>
      </c>
      <c r="C9" s="16" t="s">
        <v>46</v>
      </c>
      <c r="D9" s="15" t="s">
        <v>35</v>
      </c>
      <c r="E9" s="15" t="s">
        <v>3</v>
      </c>
      <c r="F9" s="15" t="s">
        <v>36</v>
      </c>
      <c r="G9" s="16" t="s">
        <v>37</v>
      </c>
      <c r="H9" s="16" t="s">
        <v>47</v>
      </c>
      <c r="I9" s="15" t="s">
        <v>39</v>
      </c>
      <c r="J9" s="15" t="s">
        <v>40</v>
      </c>
      <c r="K9" s="17" t="s">
        <v>41</v>
      </c>
      <c r="L9" s="16"/>
    </row>
    <row r="10" customFormat="false" ht="23.25" hidden="false" customHeight="true" outlineLevel="0" collapsed="false">
      <c r="A10" s="15" t="n">
        <v>5</v>
      </c>
      <c r="B10" s="16" t="s">
        <v>33</v>
      </c>
      <c r="C10" s="16" t="s">
        <v>48</v>
      </c>
      <c r="D10" s="15" t="s">
        <v>35</v>
      </c>
      <c r="E10" s="15" t="s">
        <v>3</v>
      </c>
      <c r="F10" s="15" t="s">
        <v>36</v>
      </c>
      <c r="G10" s="16" t="s">
        <v>37</v>
      </c>
      <c r="H10" s="16" t="s">
        <v>49</v>
      </c>
      <c r="I10" s="15" t="s">
        <v>39</v>
      </c>
      <c r="J10" s="15" t="s">
        <v>40</v>
      </c>
      <c r="K10" s="17" t="s">
        <v>41</v>
      </c>
      <c r="L10" s="16"/>
    </row>
    <row r="11" customFormat="false" ht="23.25" hidden="false" customHeight="true" outlineLevel="0" collapsed="false">
      <c r="A11" s="15" t="n">
        <v>6</v>
      </c>
      <c r="B11" s="16" t="s">
        <v>50</v>
      </c>
      <c r="C11" s="16" t="s">
        <v>51</v>
      </c>
      <c r="D11" s="15" t="s">
        <v>52</v>
      </c>
      <c r="E11" s="15" t="s">
        <v>3</v>
      </c>
      <c r="F11" s="15" t="s">
        <v>53</v>
      </c>
      <c r="G11" s="16" t="s">
        <v>54</v>
      </c>
      <c r="H11" s="16" t="s">
        <v>55</v>
      </c>
      <c r="I11" s="15" t="s">
        <v>56</v>
      </c>
      <c r="J11" s="15" t="s">
        <v>57</v>
      </c>
      <c r="K11" s="17" t="s">
        <v>41</v>
      </c>
      <c r="L11" s="16"/>
    </row>
    <row r="12" customFormat="false" ht="45.75" hidden="false" customHeight="true" outlineLevel="0" collapsed="false">
      <c r="A12" s="15" t="n">
        <v>7</v>
      </c>
      <c r="B12" s="16" t="s">
        <v>58</v>
      </c>
      <c r="C12" s="16" t="s">
        <v>59</v>
      </c>
      <c r="D12" s="15" t="s">
        <v>60</v>
      </c>
      <c r="E12" s="15" t="s">
        <v>3</v>
      </c>
      <c r="F12" s="15" t="s">
        <v>61</v>
      </c>
      <c r="G12" s="16" t="s">
        <v>62</v>
      </c>
      <c r="H12" s="16" t="s">
        <v>63</v>
      </c>
      <c r="I12" s="15" t="s">
        <v>56</v>
      </c>
      <c r="J12" s="15" t="s">
        <v>40</v>
      </c>
      <c r="K12" s="17" t="s">
        <v>41</v>
      </c>
      <c r="L12" s="16"/>
    </row>
    <row r="13" customFormat="false" ht="45.75" hidden="false" customHeight="true" outlineLevel="0" collapsed="false">
      <c r="A13" s="15" t="n">
        <v>8</v>
      </c>
      <c r="B13" s="16" t="s">
        <v>58</v>
      </c>
      <c r="C13" s="16" t="s">
        <v>64</v>
      </c>
      <c r="D13" s="15" t="s">
        <v>60</v>
      </c>
      <c r="E13" s="15" t="s">
        <v>3</v>
      </c>
      <c r="F13" s="15" t="s">
        <v>61</v>
      </c>
      <c r="G13" s="16" t="s">
        <v>65</v>
      </c>
      <c r="H13" s="16" t="s">
        <v>66</v>
      </c>
      <c r="I13" s="15" t="s">
        <v>56</v>
      </c>
      <c r="J13" s="15" t="s">
        <v>40</v>
      </c>
      <c r="K13" s="17" t="s">
        <v>41</v>
      </c>
      <c r="L13" s="16"/>
    </row>
    <row r="14" customFormat="false" ht="45.75" hidden="false" customHeight="true" outlineLevel="0" collapsed="false">
      <c r="A14" s="15" t="n">
        <v>9</v>
      </c>
      <c r="B14" s="16" t="s">
        <v>58</v>
      </c>
      <c r="C14" s="16" t="s">
        <v>67</v>
      </c>
      <c r="D14" s="15" t="s">
        <v>60</v>
      </c>
      <c r="E14" s="15" t="s">
        <v>3</v>
      </c>
      <c r="F14" s="15" t="s">
        <v>61</v>
      </c>
      <c r="G14" s="16" t="s">
        <v>65</v>
      </c>
      <c r="H14" s="16" t="s">
        <v>68</v>
      </c>
      <c r="I14" s="15" t="s">
        <v>56</v>
      </c>
      <c r="J14" s="15" t="s">
        <v>40</v>
      </c>
      <c r="K14" s="17" t="s">
        <v>41</v>
      </c>
      <c r="L14" s="16"/>
    </row>
    <row r="15" customFormat="false" ht="15" hidden="false" customHeight="true" outlineLevel="0" collapsed="false">
      <c r="A15" s="13" t="s">
        <v>69</v>
      </c>
      <c r="B15" s="14"/>
      <c r="C15" s="14"/>
      <c r="D15" s="14"/>
      <c r="E15" s="14"/>
      <c r="F15" s="14"/>
      <c r="G15" s="14"/>
      <c r="H15" s="14"/>
      <c r="I15" s="14"/>
      <c r="J15" s="14"/>
      <c r="K15" s="14"/>
      <c r="L15" s="14"/>
    </row>
    <row r="16" customFormat="false" ht="15" hidden="false" customHeight="true" outlineLevel="0" collapsed="false">
      <c r="A16" s="15" t="n">
        <v>10</v>
      </c>
      <c r="B16" s="16" t="s">
        <v>70</v>
      </c>
      <c r="C16" s="16" t="s">
        <v>71</v>
      </c>
      <c r="D16" s="15" t="s">
        <v>35</v>
      </c>
      <c r="E16" s="15" t="s">
        <v>3</v>
      </c>
      <c r="F16" s="15" t="s">
        <v>53</v>
      </c>
      <c r="G16" s="16" t="s">
        <v>37</v>
      </c>
      <c r="H16" s="16" t="s">
        <v>72</v>
      </c>
      <c r="I16" s="15" t="s">
        <v>39</v>
      </c>
      <c r="J16" s="15" t="s">
        <v>40</v>
      </c>
      <c r="K16" s="17" t="s">
        <v>41</v>
      </c>
      <c r="L16" s="16"/>
    </row>
    <row r="17" customFormat="false" ht="15" hidden="false" customHeight="true" outlineLevel="0" collapsed="false">
      <c r="A17" s="15" t="n">
        <v>11</v>
      </c>
      <c r="B17" s="16" t="s">
        <v>70</v>
      </c>
      <c r="C17" s="16" t="s">
        <v>73</v>
      </c>
      <c r="D17" s="15" t="s">
        <v>35</v>
      </c>
      <c r="E17" s="15" t="s">
        <v>3</v>
      </c>
      <c r="F17" s="15" t="s">
        <v>53</v>
      </c>
      <c r="G17" s="16" t="s">
        <v>37</v>
      </c>
      <c r="H17" s="16" t="s">
        <v>74</v>
      </c>
      <c r="I17" s="15" t="s">
        <v>39</v>
      </c>
      <c r="J17" s="15" t="s">
        <v>40</v>
      </c>
      <c r="K17" s="17" t="s">
        <v>41</v>
      </c>
      <c r="L17" s="16"/>
    </row>
    <row r="18" customFormat="false" ht="23.25" hidden="false" customHeight="true" outlineLevel="0" collapsed="false">
      <c r="A18" s="15" t="n">
        <v>12</v>
      </c>
      <c r="B18" s="16" t="s">
        <v>70</v>
      </c>
      <c r="C18" s="16" t="s">
        <v>75</v>
      </c>
      <c r="D18" s="15" t="s">
        <v>35</v>
      </c>
      <c r="E18" s="15" t="s">
        <v>3</v>
      </c>
      <c r="F18" s="15" t="s">
        <v>53</v>
      </c>
      <c r="G18" s="16" t="s">
        <v>37</v>
      </c>
      <c r="H18" s="16" t="s">
        <v>76</v>
      </c>
      <c r="I18" s="15" t="s">
        <v>39</v>
      </c>
      <c r="J18" s="15" t="s">
        <v>40</v>
      </c>
      <c r="K18" s="17" t="s">
        <v>41</v>
      </c>
      <c r="L18" s="16"/>
    </row>
    <row r="19" customFormat="false" ht="23.25" hidden="false" customHeight="true" outlineLevel="0" collapsed="false">
      <c r="A19" s="15" t="n">
        <v>13</v>
      </c>
      <c r="B19" s="16" t="s">
        <v>77</v>
      </c>
      <c r="C19" s="16" t="s">
        <v>78</v>
      </c>
      <c r="D19" s="15" t="s">
        <v>35</v>
      </c>
      <c r="E19" s="15" t="s">
        <v>3</v>
      </c>
      <c r="F19" s="15" t="s">
        <v>53</v>
      </c>
      <c r="G19" s="16" t="s">
        <v>79</v>
      </c>
      <c r="H19" s="16" t="s">
        <v>80</v>
      </c>
      <c r="I19" s="15" t="s">
        <v>39</v>
      </c>
      <c r="J19" s="15" t="s">
        <v>40</v>
      </c>
      <c r="K19" s="17" t="s">
        <v>41</v>
      </c>
      <c r="L19" s="16"/>
    </row>
    <row r="20" customFormat="false" ht="15" hidden="false" customHeight="true" outlineLevel="0" collapsed="false">
      <c r="A20" s="13" t="s">
        <v>81</v>
      </c>
      <c r="B20" s="14"/>
      <c r="C20" s="14"/>
      <c r="D20" s="14"/>
      <c r="E20" s="14"/>
      <c r="F20" s="14"/>
      <c r="G20" s="14"/>
      <c r="H20" s="14"/>
      <c r="I20" s="14"/>
      <c r="J20" s="14"/>
      <c r="K20" s="14"/>
      <c r="L20" s="14"/>
    </row>
    <row r="21" customFormat="false" ht="34.5" hidden="false" customHeight="true" outlineLevel="0" collapsed="false">
      <c r="A21" s="15" t="n">
        <v>14</v>
      </c>
      <c r="B21" s="16" t="s">
        <v>58</v>
      </c>
      <c r="C21" s="16" t="s">
        <v>82</v>
      </c>
      <c r="D21" s="15" t="s">
        <v>83</v>
      </c>
      <c r="E21" s="15" t="s">
        <v>4</v>
      </c>
      <c r="F21" s="15" t="s">
        <v>84</v>
      </c>
      <c r="G21" s="16" t="s">
        <v>85</v>
      </c>
      <c r="H21" s="16" t="s">
        <v>86</v>
      </c>
      <c r="I21" s="15" t="s">
        <v>87</v>
      </c>
      <c r="J21" s="15" t="s">
        <v>88</v>
      </c>
      <c r="K21" s="17" t="s">
        <v>41</v>
      </c>
      <c r="L21" s="16" t="s">
        <v>89</v>
      </c>
    </row>
    <row r="22" customFormat="false" ht="23.25" hidden="false" customHeight="true" outlineLevel="0" collapsed="false">
      <c r="A22" s="15" t="n">
        <v>15</v>
      </c>
      <c r="B22" s="16" t="s">
        <v>58</v>
      </c>
      <c r="C22" s="16" t="s">
        <v>90</v>
      </c>
      <c r="D22" s="15" t="s">
        <v>91</v>
      </c>
      <c r="E22" s="15" t="s">
        <v>4</v>
      </c>
      <c r="F22" s="15" t="s">
        <v>84</v>
      </c>
      <c r="G22" s="16" t="s">
        <v>92</v>
      </c>
      <c r="H22" s="16" t="s">
        <v>93</v>
      </c>
      <c r="I22" s="15" t="s">
        <v>94</v>
      </c>
      <c r="J22" s="15" t="s">
        <v>95</v>
      </c>
      <c r="K22" s="17" t="s">
        <v>41</v>
      </c>
      <c r="L22" s="16" t="s">
        <v>96</v>
      </c>
    </row>
    <row r="23" customFormat="false" ht="23.25" hidden="false" customHeight="true" outlineLevel="0" collapsed="false">
      <c r="A23" s="15" t="n">
        <v>16</v>
      </c>
      <c r="B23" s="16" t="s">
        <v>97</v>
      </c>
      <c r="C23" s="16" t="s">
        <v>98</v>
      </c>
      <c r="D23" s="15" t="s">
        <v>99</v>
      </c>
      <c r="E23" s="15" t="s">
        <v>4</v>
      </c>
      <c r="F23" s="15" t="s">
        <v>100</v>
      </c>
      <c r="G23" s="16" t="s">
        <v>92</v>
      </c>
      <c r="H23" s="16" t="s">
        <v>101</v>
      </c>
      <c r="I23" s="15" t="s">
        <v>94</v>
      </c>
      <c r="J23" s="15" t="s">
        <v>95</v>
      </c>
      <c r="K23" s="17" t="s">
        <v>41</v>
      </c>
      <c r="L23" s="16" t="s">
        <v>96</v>
      </c>
    </row>
    <row r="24" customFormat="false" ht="23.25" hidden="false" customHeight="true" outlineLevel="0" collapsed="false">
      <c r="A24" s="15" t="n">
        <v>17</v>
      </c>
      <c r="B24" s="16" t="s">
        <v>97</v>
      </c>
      <c r="C24" s="16" t="s">
        <v>102</v>
      </c>
      <c r="D24" s="15" t="s">
        <v>99</v>
      </c>
      <c r="E24" s="15" t="s">
        <v>4</v>
      </c>
      <c r="F24" s="15" t="s">
        <v>100</v>
      </c>
      <c r="G24" s="16" t="s">
        <v>92</v>
      </c>
      <c r="H24" s="16" t="s">
        <v>103</v>
      </c>
      <c r="I24" s="15" t="s">
        <v>94</v>
      </c>
      <c r="J24" s="15" t="s">
        <v>95</v>
      </c>
      <c r="K24" s="17" t="s">
        <v>41</v>
      </c>
      <c r="L24" s="16" t="s">
        <v>96</v>
      </c>
    </row>
    <row r="25" customFormat="false" ht="23.25" hidden="false" customHeight="true" outlineLevel="0" collapsed="false">
      <c r="A25" s="15" t="n">
        <v>18</v>
      </c>
      <c r="B25" s="16" t="s">
        <v>97</v>
      </c>
      <c r="C25" s="16" t="s">
        <v>104</v>
      </c>
      <c r="D25" s="15" t="s">
        <v>99</v>
      </c>
      <c r="E25" s="15" t="s">
        <v>4</v>
      </c>
      <c r="F25" s="15" t="s">
        <v>100</v>
      </c>
      <c r="G25" s="16" t="s">
        <v>92</v>
      </c>
      <c r="H25" s="16" t="s">
        <v>105</v>
      </c>
      <c r="I25" s="15" t="s">
        <v>94</v>
      </c>
      <c r="J25" s="15" t="s">
        <v>95</v>
      </c>
      <c r="K25" s="17" t="s">
        <v>41</v>
      </c>
      <c r="L25" s="16" t="s">
        <v>96</v>
      </c>
    </row>
    <row r="26" customFormat="false" ht="23.25" hidden="false" customHeight="true" outlineLevel="0" collapsed="false">
      <c r="A26" s="15" t="n">
        <v>19</v>
      </c>
      <c r="B26" s="16" t="s">
        <v>58</v>
      </c>
      <c r="C26" s="16" t="s">
        <v>106</v>
      </c>
      <c r="D26" s="15" t="s">
        <v>107</v>
      </c>
      <c r="E26" s="15" t="s">
        <v>4</v>
      </c>
      <c r="F26" s="15" t="s">
        <v>84</v>
      </c>
      <c r="G26" s="16" t="s">
        <v>108</v>
      </c>
      <c r="H26" s="16" t="s">
        <v>109</v>
      </c>
      <c r="I26" s="15" t="s">
        <v>87</v>
      </c>
      <c r="J26" s="15" t="s">
        <v>88</v>
      </c>
      <c r="K26" s="17" t="s">
        <v>41</v>
      </c>
      <c r="L26" s="16" t="s">
        <v>110</v>
      </c>
    </row>
  </sheetData>
  <autoFilter ref="A4:L26"/>
  <conditionalFormatting sqref="E5:E26">
    <cfRule type="expression" priority="2" aboveAverage="0" equalAverage="0" bottom="0" percent="0" rank="0" text="" dxfId="11">
      <formula>LEFT($E5,4)="Open"</formula>
    </cfRule>
    <cfRule type="expression" priority="3" aboveAverage="0" equalAverage="0" bottom="0" percent="0" rank="0" text="" dxfId="12">
      <formula>LEFT($E5,5)="Check"</formula>
    </cfRule>
  </conditionalFormatting>
  <hyperlinks>
    <hyperlink ref="K6" r:id="rId1" display="Apply ↗"/>
    <hyperlink ref="K7" r:id="rId2" display="Apply ↗"/>
    <hyperlink ref="K8" r:id="rId3" display="Apply ↗"/>
    <hyperlink ref="K9" r:id="rId4" display="Apply ↗"/>
    <hyperlink ref="K10" r:id="rId5" display="Apply ↗"/>
    <hyperlink ref="K11" r:id="rId6" display="Apply ↗"/>
    <hyperlink ref="K12" r:id="rId7" display="Apply ↗"/>
    <hyperlink ref="K13" r:id="rId8" display="Apply ↗"/>
    <hyperlink ref="K14" r:id="rId9" display="Apply ↗"/>
    <hyperlink ref="K16" r:id="rId10" display="Apply ↗"/>
    <hyperlink ref="K17" r:id="rId11" display="Apply ↗"/>
    <hyperlink ref="K18" r:id="rId12" display="Apply ↗"/>
    <hyperlink ref="K19" r:id="rId13" display="Apply ↗"/>
    <hyperlink ref="K21" r:id="rId14" display="Apply ↗"/>
    <hyperlink ref="K22" r:id="rId15" display="Apply ↗"/>
    <hyperlink ref="K23" r:id="rId16" display="Apply ↗"/>
    <hyperlink ref="K24" r:id="rId17" display="Apply ↗"/>
    <hyperlink ref="K25" r:id="rId18" display="Apply ↗"/>
    <hyperlink ref="K26" r:id="rId19"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111</v>
      </c>
    </row>
    <row r="2" customFormat="false" ht="15" hidden="false" customHeight="true" outlineLevel="0" collapsed="false">
      <c r="A2" s="12" t="s">
        <v>19</v>
      </c>
    </row>
    <row r="4" customFormat="false" ht="25.5" hidden="false" customHeight="true" outlineLevel="0" collapsed="false">
      <c r="A4" s="4" t="s">
        <v>20</v>
      </c>
      <c r="B4" s="4" t="s">
        <v>21</v>
      </c>
      <c r="C4" s="4" t="s">
        <v>22</v>
      </c>
      <c r="D4" s="4" t="s">
        <v>23</v>
      </c>
      <c r="E4" s="4" t="s">
        <v>24</v>
      </c>
      <c r="F4" s="4" t="s">
        <v>25</v>
      </c>
      <c r="G4" s="4" t="s">
        <v>26</v>
      </c>
      <c r="H4" s="4" t="s">
        <v>27</v>
      </c>
      <c r="I4" s="4" t="s">
        <v>28</v>
      </c>
      <c r="J4" s="4" t="s">
        <v>29</v>
      </c>
      <c r="K4" s="4" t="s">
        <v>30</v>
      </c>
      <c r="L4" s="4" t="s">
        <v>31</v>
      </c>
    </row>
    <row r="5" customFormat="false" ht="15" hidden="false" customHeight="true" outlineLevel="0" collapsed="false">
      <c r="A5" s="13" t="s">
        <v>32</v>
      </c>
      <c r="B5" s="14"/>
      <c r="C5" s="14"/>
      <c r="D5" s="14"/>
      <c r="E5" s="14"/>
      <c r="F5" s="14"/>
      <c r="G5" s="14"/>
      <c r="H5" s="14"/>
      <c r="I5" s="14"/>
      <c r="J5" s="14"/>
      <c r="K5" s="14"/>
      <c r="L5" s="14"/>
    </row>
    <row r="6" customFormat="false" ht="34.5" hidden="false" customHeight="true" outlineLevel="0" collapsed="false">
      <c r="A6" s="15" t="n">
        <v>1</v>
      </c>
      <c r="B6" s="16" t="s">
        <v>58</v>
      </c>
      <c r="C6" s="16" t="s">
        <v>112</v>
      </c>
      <c r="D6" s="15" t="s">
        <v>60</v>
      </c>
      <c r="E6" s="15" t="s">
        <v>3</v>
      </c>
      <c r="F6" s="15" t="s">
        <v>113</v>
      </c>
      <c r="G6" s="16" t="s">
        <v>114</v>
      </c>
      <c r="H6" s="16" t="s">
        <v>115</v>
      </c>
      <c r="I6" s="15" t="s">
        <v>56</v>
      </c>
      <c r="J6" s="15" t="s">
        <v>40</v>
      </c>
      <c r="K6" s="17" t="s">
        <v>41</v>
      </c>
      <c r="L6" s="16"/>
    </row>
    <row r="7" customFormat="false" ht="15" hidden="false" customHeight="true" outlineLevel="0" collapsed="false">
      <c r="A7" s="13" t="s">
        <v>116</v>
      </c>
      <c r="B7" s="14"/>
      <c r="C7" s="14"/>
      <c r="D7" s="14"/>
      <c r="E7" s="14"/>
      <c r="F7" s="14"/>
      <c r="G7" s="14"/>
      <c r="H7" s="14"/>
      <c r="I7" s="14"/>
      <c r="J7" s="14"/>
      <c r="K7" s="14"/>
      <c r="L7" s="14"/>
    </row>
    <row r="8" customFormat="false" ht="34.5" hidden="false" customHeight="true" outlineLevel="0" collapsed="false">
      <c r="A8" s="15" t="n">
        <v>2</v>
      </c>
      <c r="B8" s="16" t="s">
        <v>117</v>
      </c>
      <c r="C8" s="16" t="s">
        <v>118</v>
      </c>
      <c r="D8" s="15" t="s">
        <v>119</v>
      </c>
      <c r="E8" s="15" t="s">
        <v>3</v>
      </c>
      <c r="F8" s="15" t="s">
        <v>120</v>
      </c>
      <c r="G8" s="16" t="s">
        <v>121</v>
      </c>
      <c r="H8" s="16" t="s">
        <v>122</v>
      </c>
      <c r="I8" s="15" t="s">
        <v>56</v>
      </c>
      <c r="J8" s="15" t="s">
        <v>40</v>
      </c>
      <c r="K8" s="17" t="s">
        <v>41</v>
      </c>
      <c r="L8" s="16"/>
    </row>
  </sheetData>
  <autoFilter ref="A4:L8"/>
  <conditionalFormatting sqref="E5:E8">
    <cfRule type="expression" priority="2" aboveAverage="0" equalAverage="0" bottom="0" percent="0" rank="0" text="" dxfId="11">
      <formula>LEFT($E5,4)="Open"</formula>
    </cfRule>
    <cfRule type="expression" priority="3" aboveAverage="0" equalAverage="0" bottom="0" percent="0" rank="0" text="" dxfId="12">
      <formula>LEFT($E5,5)="Check"</formula>
    </cfRule>
  </conditionalFormatting>
  <hyperlinks>
    <hyperlink ref="K6" r:id="rId1" display="Apply ↗"/>
    <hyperlink ref="K8" r:id="rId2"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123</v>
      </c>
    </row>
    <row r="2" customFormat="false" ht="15" hidden="false" customHeight="true" outlineLevel="0" collapsed="false">
      <c r="A2" s="12" t="s">
        <v>19</v>
      </c>
    </row>
    <row r="4" customFormat="false" ht="25.5" hidden="false" customHeight="true" outlineLevel="0" collapsed="false">
      <c r="A4" s="4" t="s">
        <v>20</v>
      </c>
      <c r="B4" s="4" t="s">
        <v>21</v>
      </c>
      <c r="C4" s="4" t="s">
        <v>22</v>
      </c>
      <c r="D4" s="4" t="s">
        <v>23</v>
      </c>
      <c r="E4" s="4" t="s">
        <v>24</v>
      </c>
      <c r="F4" s="4" t="s">
        <v>25</v>
      </c>
      <c r="G4" s="4" t="s">
        <v>26</v>
      </c>
      <c r="H4" s="4" t="s">
        <v>27</v>
      </c>
      <c r="I4" s="4" t="s">
        <v>28</v>
      </c>
      <c r="J4" s="4" t="s">
        <v>29</v>
      </c>
      <c r="K4" s="4" t="s">
        <v>30</v>
      </c>
      <c r="L4" s="4" t="s">
        <v>31</v>
      </c>
    </row>
    <row r="5" customFormat="false" ht="15" hidden="false" customHeight="true" outlineLevel="0" collapsed="false">
      <c r="A5" s="13" t="s">
        <v>116</v>
      </c>
      <c r="B5" s="14"/>
      <c r="C5" s="14"/>
      <c r="D5" s="14"/>
      <c r="E5" s="14"/>
      <c r="F5" s="14"/>
      <c r="G5" s="14"/>
      <c r="H5" s="14"/>
      <c r="I5" s="14"/>
      <c r="J5" s="14"/>
      <c r="K5" s="14"/>
      <c r="L5" s="14"/>
    </row>
    <row r="6" customFormat="false" ht="23.25" hidden="false" customHeight="true" outlineLevel="0" collapsed="false">
      <c r="A6" s="15" t="n">
        <v>1</v>
      </c>
      <c r="B6" s="16" t="s">
        <v>124</v>
      </c>
      <c r="C6" s="16" t="s">
        <v>125</v>
      </c>
      <c r="D6" s="15" t="s">
        <v>126</v>
      </c>
      <c r="E6" s="15" t="s">
        <v>3</v>
      </c>
      <c r="F6" s="15" t="s">
        <v>127</v>
      </c>
      <c r="G6" s="16" t="s">
        <v>128</v>
      </c>
      <c r="H6" s="16" t="s">
        <v>129</v>
      </c>
      <c r="I6" s="15" t="s">
        <v>39</v>
      </c>
      <c r="J6" s="15" t="s">
        <v>40</v>
      </c>
      <c r="K6" s="17" t="s">
        <v>41</v>
      </c>
      <c r="L6" s="16"/>
    </row>
    <row r="7" customFormat="false" ht="15" hidden="false" customHeight="true" outlineLevel="0" collapsed="false">
      <c r="A7" s="13" t="s">
        <v>69</v>
      </c>
      <c r="B7" s="14"/>
      <c r="C7" s="14"/>
      <c r="D7" s="14"/>
      <c r="E7" s="14"/>
      <c r="F7" s="14"/>
      <c r="G7" s="14"/>
      <c r="H7" s="14"/>
      <c r="I7" s="14"/>
      <c r="J7" s="14"/>
      <c r="K7" s="14"/>
      <c r="L7" s="14"/>
    </row>
    <row r="8" customFormat="false" ht="15" hidden="false" customHeight="true" outlineLevel="0" collapsed="false">
      <c r="A8" s="15" t="n">
        <v>2</v>
      </c>
      <c r="B8" s="16" t="s">
        <v>70</v>
      </c>
      <c r="C8" s="16" t="s">
        <v>130</v>
      </c>
      <c r="D8" s="15" t="s">
        <v>131</v>
      </c>
      <c r="E8" s="15" t="s">
        <v>3</v>
      </c>
      <c r="F8" s="15" t="s">
        <v>132</v>
      </c>
      <c r="G8" s="16" t="s">
        <v>37</v>
      </c>
      <c r="H8" s="16" t="s">
        <v>133</v>
      </c>
      <c r="I8" s="15" t="s">
        <v>94</v>
      </c>
      <c r="J8" s="15" t="s">
        <v>40</v>
      </c>
      <c r="K8" s="17" t="s">
        <v>41</v>
      </c>
      <c r="L8" s="16"/>
    </row>
  </sheetData>
  <autoFilter ref="A4:L8"/>
  <conditionalFormatting sqref="E5:E8">
    <cfRule type="expression" priority="2" aboveAverage="0" equalAverage="0" bottom="0" percent="0" rank="0" text="" dxfId="11">
      <formula>LEFT($E5,4)="Open"</formula>
    </cfRule>
    <cfRule type="expression" priority="3" aboveAverage="0" equalAverage="0" bottom="0" percent="0" rank="0" text="" dxfId="12">
      <formula>LEFT($E5,5)="Check"</formula>
    </cfRule>
  </conditionalFormatting>
  <hyperlinks>
    <hyperlink ref="K6" r:id="rId1" display="Apply ↗"/>
    <hyperlink ref="K8" r:id="rId2"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134</v>
      </c>
    </row>
    <row r="2" customFormat="false" ht="15" hidden="false" customHeight="true" outlineLevel="0" collapsed="false">
      <c r="A2" s="12" t="s">
        <v>19</v>
      </c>
    </row>
    <row r="4" customFormat="false" ht="25.5" hidden="false" customHeight="true" outlineLevel="0" collapsed="false">
      <c r="A4" s="4" t="s">
        <v>20</v>
      </c>
      <c r="B4" s="4" t="s">
        <v>21</v>
      </c>
      <c r="C4" s="4" t="s">
        <v>22</v>
      </c>
      <c r="D4" s="4" t="s">
        <v>23</v>
      </c>
      <c r="E4" s="4" t="s">
        <v>24</v>
      </c>
      <c r="F4" s="4" t="s">
        <v>25</v>
      </c>
      <c r="G4" s="4" t="s">
        <v>26</v>
      </c>
      <c r="H4" s="4" t="s">
        <v>27</v>
      </c>
      <c r="I4" s="4" t="s">
        <v>28</v>
      </c>
      <c r="J4" s="4" t="s">
        <v>29</v>
      </c>
      <c r="K4" s="4" t="s">
        <v>30</v>
      </c>
      <c r="L4" s="4" t="s">
        <v>31</v>
      </c>
    </row>
    <row r="5" customFormat="false" ht="15" hidden="false" customHeight="true" outlineLevel="0" collapsed="false">
      <c r="A5" s="13" t="s">
        <v>32</v>
      </c>
      <c r="B5" s="14"/>
      <c r="C5" s="14"/>
      <c r="D5" s="14"/>
      <c r="E5" s="14"/>
      <c r="F5" s="14"/>
      <c r="G5" s="14"/>
      <c r="H5" s="14"/>
      <c r="I5" s="14"/>
      <c r="J5" s="14"/>
      <c r="K5" s="14"/>
      <c r="L5" s="14"/>
    </row>
    <row r="6" customFormat="false" ht="34.5" hidden="false" customHeight="true" outlineLevel="0" collapsed="false">
      <c r="A6" s="15" t="n">
        <v>1</v>
      </c>
      <c r="B6" s="16" t="s">
        <v>58</v>
      </c>
      <c r="C6" s="16" t="s">
        <v>135</v>
      </c>
      <c r="D6" s="15" t="s">
        <v>60</v>
      </c>
      <c r="E6" s="15" t="s">
        <v>3</v>
      </c>
      <c r="F6" s="15" t="s">
        <v>136</v>
      </c>
      <c r="G6" s="16" t="s">
        <v>65</v>
      </c>
      <c r="H6" s="16" t="s">
        <v>137</v>
      </c>
      <c r="I6" s="15" t="s">
        <v>56</v>
      </c>
      <c r="J6" s="15" t="s">
        <v>40</v>
      </c>
      <c r="K6" s="17" t="s">
        <v>41</v>
      </c>
      <c r="L6" s="16"/>
    </row>
    <row r="7" customFormat="false" ht="34.5" hidden="false" customHeight="true" outlineLevel="0" collapsed="false">
      <c r="A7" s="15" t="n">
        <v>2</v>
      </c>
      <c r="B7" s="16" t="s">
        <v>58</v>
      </c>
      <c r="C7" s="16" t="s">
        <v>138</v>
      </c>
      <c r="D7" s="15" t="s">
        <v>60</v>
      </c>
      <c r="E7" s="15" t="s">
        <v>3</v>
      </c>
      <c r="F7" s="15" t="s">
        <v>139</v>
      </c>
      <c r="G7" s="16" t="s">
        <v>65</v>
      </c>
      <c r="H7" s="16" t="s">
        <v>137</v>
      </c>
      <c r="I7" s="15" t="s">
        <v>56</v>
      </c>
      <c r="J7" s="15" t="s">
        <v>40</v>
      </c>
      <c r="K7" s="17" t="s">
        <v>41</v>
      </c>
      <c r="L7" s="16"/>
    </row>
    <row r="8" customFormat="false" ht="34.5" hidden="false" customHeight="true" outlineLevel="0" collapsed="false">
      <c r="A8" s="15" t="n">
        <v>3</v>
      </c>
      <c r="B8" s="16" t="s">
        <v>58</v>
      </c>
      <c r="C8" s="16" t="s">
        <v>140</v>
      </c>
      <c r="D8" s="15" t="s">
        <v>60</v>
      </c>
      <c r="E8" s="15" t="s">
        <v>3</v>
      </c>
      <c r="F8" s="15" t="s">
        <v>84</v>
      </c>
      <c r="G8" s="16" t="s">
        <v>65</v>
      </c>
      <c r="H8" s="16" t="s">
        <v>137</v>
      </c>
      <c r="I8" s="15" t="s">
        <v>56</v>
      </c>
      <c r="J8" s="15" t="s">
        <v>40</v>
      </c>
      <c r="K8" s="17" t="s">
        <v>41</v>
      </c>
      <c r="L8" s="16"/>
    </row>
    <row r="9" customFormat="false" ht="34.5" hidden="false" customHeight="true" outlineLevel="0" collapsed="false">
      <c r="A9" s="15" t="n">
        <v>4</v>
      </c>
      <c r="B9" s="16" t="s">
        <v>58</v>
      </c>
      <c r="C9" s="16" t="s">
        <v>141</v>
      </c>
      <c r="D9" s="15" t="s">
        <v>60</v>
      </c>
      <c r="E9" s="15" t="s">
        <v>3</v>
      </c>
      <c r="F9" s="15" t="s">
        <v>84</v>
      </c>
      <c r="G9" s="16" t="s">
        <v>65</v>
      </c>
      <c r="H9" s="16" t="s">
        <v>142</v>
      </c>
      <c r="I9" s="15" t="s">
        <v>56</v>
      </c>
      <c r="J9" s="15" t="s">
        <v>40</v>
      </c>
      <c r="K9" s="17" t="s">
        <v>41</v>
      </c>
      <c r="L9" s="16"/>
    </row>
    <row r="10" customFormat="false" ht="34.5" hidden="false" customHeight="true" outlineLevel="0" collapsed="false">
      <c r="A10" s="15" t="n">
        <v>5</v>
      </c>
      <c r="B10" s="16" t="s">
        <v>58</v>
      </c>
      <c r="C10" s="16" t="s">
        <v>143</v>
      </c>
      <c r="D10" s="15" t="s">
        <v>60</v>
      </c>
      <c r="E10" s="15" t="s">
        <v>3</v>
      </c>
      <c r="F10" s="15" t="s">
        <v>144</v>
      </c>
      <c r="G10" s="16" t="s">
        <v>65</v>
      </c>
      <c r="H10" s="16" t="s">
        <v>137</v>
      </c>
      <c r="I10" s="15" t="s">
        <v>56</v>
      </c>
      <c r="J10" s="15" t="s">
        <v>40</v>
      </c>
      <c r="K10" s="17" t="s">
        <v>41</v>
      </c>
      <c r="L10" s="16"/>
    </row>
    <row r="11" customFormat="false" ht="15" hidden="false" customHeight="true" outlineLevel="0" collapsed="false">
      <c r="A11" s="13" t="s">
        <v>116</v>
      </c>
      <c r="B11" s="14"/>
      <c r="C11" s="14"/>
      <c r="D11" s="14"/>
      <c r="E11" s="14"/>
      <c r="F11" s="14"/>
      <c r="G11" s="14"/>
      <c r="H11" s="14"/>
      <c r="I11" s="14"/>
      <c r="J11" s="14"/>
      <c r="K11" s="14"/>
      <c r="L11" s="14"/>
    </row>
    <row r="12" customFormat="false" ht="23.25" hidden="false" customHeight="true" outlineLevel="0" collapsed="false">
      <c r="A12" s="15" t="n">
        <v>6</v>
      </c>
      <c r="B12" s="16" t="s">
        <v>124</v>
      </c>
      <c r="C12" s="16" t="s">
        <v>145</v>
      </c>
      <c r="D12" s="15" t="s">
        <v>126</v>
      </c>
      <c r="E12" s="15" t="s">
        <v>3</v>
      </c>
      <c r="F12" s="15" t="s">
        <v>127</v>
      </c>
      <c r="G12" s="16" t="s">
        <v>146</v>
      </c>
      <c r="H12" s="16" t="s">
        <v>147</v>
      </c>
      <c r="I12" s="15" t="s">
        <v>39</v>
      </c>
      <c r="J12" s="15" t="s">
        <v>40</v>
      </c>
      <c r="K12" s="17" t="s">
        <v>41</v>
      </c>
      <c r="L12" s="16"/>
    </row>
    <row r="13" customFormat="false" ht="23.25" hidden="false" customHeight="true" outlineLevel="0" collapsed="false">
      <c r="A13" s="15" t="n">
        <v>7</v>
      </c>
      <c r="B13" s="16" t="s">
        <v>124</v>
      </c>
      <c r="C13" s="16" t="s">
        <v>148</v>
      </c>
      <c r="D13" s="15" t="s">
        <v>126</v>
      </c>
      <c r="E13" s="15" t="s">
        <v>3</v>
      </c>
      <c r="F13" s="15" t="s">
        <v>127</v>
      </c>
      <c r="G13" s="16" t="s">
        <v>149</v>
      </c>
      <c r="H13" s="16" t="s">
        <v>147</v>
      </c>
      <c r="I13" s="15" t="s">
        <v>39</v>
      </c>
      <c r="J13" s="15" t="s">
        <v>40</v>
      </c>
      <c r="K13" s="17" t="s">
        <v>41</v>
      </c>
      <c r="L13" s="16"/>
    </row>
  </sheetData>
  <autoFilter ref="A4:L13"/>
  <conditionalFormatting sqref="E5:E13">
    <cfRule type="expression" priority="2" aboveAverage="0" equalAverage="0" bottom="0" percent="0" rank="0" text="" dxfId="11">
      <formula>LEFT($E5,4)="Open"</formula>
    </cfRule>
    <cfRule type="expression" priority="3" aboveAverage="0" equalAverage="0" bottom="0" percent="0" rank="0" text="" dxfId="12">
      <formula>LEFT($E5,5)="Check"</formula>
    </cfRule>
  </conditionalFormatting>
  <hyperlinks>
    <hyperlink ref="K6" r:id="rId1" display="Apply ↗"/>
    <hyperlink ref="K7" r:id="rId2" display="Apply ↗"/>
    <hyperlink ref="K8" r:id="rId3" display="Apply ↗"/>
    <hyperlink ref="K9" r:id="rId4" display="Apply ↗"/>
    <hyperlink ref="K10" r:id="rId5" display="Apply ↗"/>
    <hyperlink ref="K12" r:id="rId6" display="Apply ↗"/>
    <hyperlink ref="K13" r:id="rId7"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150</v>
      </c>
    </row>
    <row r="2" customFormat="false" ht="15" hidden="false" customHeight="true" outlineLevel="0" collapsed="false">
      <c r="A2" s="12" t="s">
        <v>19</v>
      </c>
    </row>
    <row r="4" customFormat="false" ht="25.5" hidden="false" customHeight="true" outlineLevel="0" collapsed="false">
      <c r="A4" s="4" t="s">
        <v>20</v>
      </c>
      <c r="B4" s="4" t="s">
        <v>21</v>
      </c>
      <c r="C4" s="4" t="s">
        <v>22</v>
      </c>
      <c r="D4" s="4" t="s">
        <v>23</v>
      </c>
      <c r="E4" s="4" t="s">
        <v>24</v>
      </c>
      <c r="F4" s="4" t="s">
        <v>25</v>
      </c>
      <c r="G4" s="4" t="s">
        <v>26</v>
      </c>
      <c r="H4" s="4" t="s">
        <v>27</v>
      </c>
      <c r="I4" s="4" t="s">
        <v>28</v>
      </c>
      <c r="J4" s="4" t="s">
        <v>29</v>
      </c>
      <c r="K4" s="4" t="s">
        <v>30</v>
      </c>
      <c r="L4" s="4" t="s">
        <v>31</v>
      </c>
    </row>
    <row r="5" customFormat="false" ht="15" hidden="false" customHeight="true" outlineLevel="0" collapsed="false">
      <c r="A5" s="13" t="s">
        <v>32</v>
      </c>
      <c r="B5" s="14"/>
      <c r="C5" s="14"/>
      <c r="D5" s="14"/>
      <c r="E5" s="14"/>
      <c r="F5" s="14"/>
      <c r="G5" s="14"/>
      <c r="H5" s="14"/>
      <c r="I5" s="14"/>
      <c r="J5" s="14"/>
      <c r="K5" s="14"/>
      <c r="L5" s="14"/>
    </row>
    <row r="6" customFormat="false" ht="15" hidden="false" customHeight="true" outlineLevel="0" collapsed="false">
      <c r="A6" s="15" t="n">
        <v>1</v>
      </c>
      <c r="B6" s="16" t="s">
        <v>151</v>
      </c>
      <c r="C6" s="16" t="s">
        <v>152</v>
      </c>
      <c r="D6" s="15" t="s">
        <v>35</v>
      </c>
      <c r="E6" s="15" t="s">
        <v>4</v>
      </c>
      <c r="F6" s="15" t="s">
        <v>153</v>
      </c>
      <c r="G6" s="16" t="s">
        <v>37</v>
      </c>
      <c r="H6" s="16" t="s">
        <v>154</v>
      </c>
      <c r="I6" s="15" t="s">
        <v>39</v>
      </c>
      <c r="J6" s="15" t="s">
        <v>40</v>
      </c>
      <c r="K6" s="17" t="s">
        <v>41</v>
      </c>
      <c r="L6" s="16" t="s">
        <v>155</v>
      </c>
    </row>
    <row r="7" customFormat="false" ht="23.25" hidden="false" customHeight="true" outlineLevel="0" collapsed="false">
      <c r="A7" s="15" t="n">
        <v>2</v>
      </c>
      <c r="B7" s="16" t="s">
        <v>156</v>
      </c>
      <c r="C7" s="16" t="s">
        <v>157</v>
      </c>
      <c r="D7" s="15" t="s">
        <v>35</v>
      </c>
      <c r="E7" s="15" t="s">
        <v>4</v>
      </c>
      <c r="F7" s="15" t="s">
        <v>158</v>
      </c>
      <c r="G7" s="16" t="s">
        <v>37</v>
      </c>
      <c r="H7" s="16" t="s">
        <v>159</v>
      </c>
      <c r="I7" s="15" t="s">
        <v>39</v>
      </c>
      <c r="J7" s="15" t="s">
        <v>40</v>
      </c>
      <c r="K7" s="17" t="s">
        <v>41</v>
      </c>
      <c r="L7" s="16" t="s">
        <v>160</v>
      </c>
    </row>
    <row r="8" customFormat="false" ht="34.5" hidden="false" customHeight="true" outlineLevel="0" collapsed="false">
      <c r="A8" s="15" t="n">
        <v>3</v>
      </c>
      <c r="B8" s="16" t="s">
        <v>58</v>
      </c>
      <c r="C8" s="16" t="s">
        <v>161</v>
      </c>
      <c r="D8" s="15" t="s">
        <v>60</v>
      </c>
      <c r="E8" s="15" t="s">
        <v>3</v>
      </c>
      <c r="F8" s="15" t="s">
        <v>162</v>
      </c>
      <c r="G8" s="16" t="s">
        <v>65</v>
      </c>
      <c r="H8" s="16" t="s">
        <v>137</v>
      </c>
      <c r="I8" s="15" t="s">
        <v>56</v>
      </c>
      <c r="J8" s="15" t="s">
        <v>40</v>
      </c>
      <c r="K8" s="17" t="s">
        <v>41</v>
      </c>
      <c r="L8" s="16"/>
    </row>
    <row r="9" customFormat="false" ht="15" hidden="false" customHeight="true" outlineLevel="0" collapsed="false">
      <c r="A9" s="13" t="s">
        <v>69</v>
      </c>
      <c r="B9" s="14"/>
      <c r="C9" s="14"/>
      <c r="D9" s="14"/>
      <c r="E9" s="14"/>
      <c r="F9" s="14"/>
      <c r="G9" s="14"/>
      <c r="H9" s="14"/>
      <c r="I9" s="14"/>
      <c r="J9" s="14"/>
      <c r="K9" s="14"/>
      <c r="L9" s="14"/>
    </row>
    <row r="10" customFormat="false" ht="23.25" hidden="false" customHeight="true" outlineLevel="0" collapsed="false">
      <c r="A10" s="15" t="n">
        <v>4</v>
      </c>
      <c r="B10" s="16" t="s">
        <v>70</v>
      </c>
      <c r="C10" s="16" t="s">
        <v>163</v>
      </c>
      <c r="D10" s="15" t="s">
        <v>131</v>
      </c>
      <c r="E10" s="15" t="s">
        <v>3</v>
      </c>
      <c r="F10" s="15" t="s">
        <v>120</v>
      </c>
      <c r="G10" s="16" t="s">
        <v>37</v>
      </c>
      <c r="H10" s="16" t="s">
        <v>164</v>
      </c>
      <c r="I10" s="15" t="s">
        <v>94</v>
      </c>
      <c r="J10" s="15" t="s">
        <v>40</v>
      </c>
      <c r="K10" s="17" t="s">
        <v>41</v>
      </c>
      <c r="L10" s="16"/>
    </row>
  </sheetData>
  <autoFilter ref="A4:L10"/>
  <conditionalFormatting sqref="E5:E10">
    <cfRule type="expression" priority="2" aboveAverage="0" equalAverage="0" bottom="0" percent="0" rank="0" text="" dxfId="11">
      <formula>LEFT($E5,4)="Open"</formula>
    </cfRule>
    <cfRule type="expression" priority="3" aboveAverage="0" equalAverage="0" bottom="0" percent="0" rank="0" text="" dxfId="12">
      <formula>LEFT($E5,5)="Check"</formula>
    </cfRule>
  </conditionalFormatting>
  <hyperlinks>
    <hyperlink ref="K6" r:id="rId1" display="Apply ↗"/>
    <hyperlink ref="K7" r:id="rId2" display="Apply ↗"/>
    <hyperlink ref="K8" r:id="rId3" display="Apply ↗"/>
    <hyperlink ref="K10" r:id="rId4"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48"/>
    <col collapsed="false" customWidth="true" hidden="false" outlineLevel="0" max="4" min="4" style="1" width="20"/>
    <col collapsed="false" customWidth="true" hidden="false" outlineLevel="0" max="6" min="5" style="1" width="10"/>
    <col collapsed="false" customWidth="true" hidden="false" outlineLevel="0" max="7" min="7" style="1" width="16"/>
    <col collapsed="false" customWidth="true" hidden="false" outlineLevel="0" max="8" min="8" style="1" width="44"/>
  </cols>
  <sheetData>
    <row r="1" customFormat="false" ht="17.25" hidden="false" customHeight="true" outlineLevel="0" collapsed="false">
      <c r="A1" s="11" t="s">
        <v>165</v>
      </c>
    </row>
    <row r="2" customFormat="false" ht="15" hidden="false" customHeight="true" outlineLevel="0" collapsed="false">
      <c r="A2" s="12" t="s">
        <v>166</v>
      </c>
    </row>
    <row r="4" customFormat="false" ht="25.5" hidden="false" customHeight="true" outlineLevel="0" collapsed="false">
      <c r="A4" s="4" t="s">
        <v>20</v>
      </c>
      <c r="B4" s="4" t="s">
        <v>167</v>
      </c>
      <c r="C4" s="4" t="s">
        <v>22</v>
      </c>
      <c r="D4" s="4" t="s">
        <v>168</v>
      </c>
      <c r="E4" s="4" t="s">
        <v>169</v>
      </c>
      <c r="F4" s="4" t="s">
        <v>29</v>
      </c>
      <c r="G4" s="4" t="s">
        <v>170</v>
      </c>
      <c r="H4" s="4" t="s">
        <v>31</v>
      </c>
    </row>
    <row r="5" customFormat="false" ht="15" hidden="false" customHeight="true" outlineLevel="0" collapsed="false">
      <c r="A5" s="13" t="s">
        <v>171</v>
      </c>
      <c r="B5" s="14"/>
      <c r="C5" s="14"/>
      <c r="D5" s="14"/>
      <c r="E5" s="14"/>
      <c r="F5" s="14"/>
      <c r="G5" s="14"/>
      <c r="H5" s="14"/>
    </row>
    <row r="6" customFormat="false" ht="15" hidden="false" customHeight="true" outlineLevel="0" collapsed="false">
      <c r="A6" s="15" t="n">
        <v>1</v>
      </c>
      <c r="B6" s="15" t="s">
        <v>172</v>
      </c>
      <c r="C6" s="16" t="s">
        <v>173</v>
      </c>
      <c r="D6" s="15" t="s">
        <v>174</v>
      </c>
      <c r="E6" s="15" t="s">
        <v>175</v>
      </c>
      <c r="F6" s="15" t="s">
        <v>176</v>
      </c>
      <c r="G6" s="17" t="s">
        <v>41</v>
      </c>
      <c r="H6" s="16"/>
    </row>
    <row r="7" customFormat="false" ht="15" hidden="false" customHeight="true" outlineLevel="0" collapsed="false">
      <c r="A7" s="15" t="n">
        <v>2</v>
      </c>
      <c r="B7" s="15" t="s">
        <v>172</v>
      </c>
      <c r="C7" s="16" t="s">
        <v>177</v>
      </c>
      <c r="D7" s="15" t="s">
        <v>178</v>
      </c>
      <c r="E7" s="15" t="s">
        <v>179</v>
      </c>
      <c r="F7" s="15" t="s">
        <v>180</v>
      </c>
      <c r="G7" s="17" t="s">
        <v>41</v>
      </c>
      <c r="H7" s="16"/>
    </row>
    <row r="8" customFormat="false" ht="15" hidden="false" customHeight="true" outlineLevel="0" collapsed="false">
      <c r="A8" s="15" t="n">
        <v>3</v>
      </c>
      <c r="B8" s="15" t="s">
        <v>172</v>
      </c>
      <c r="C8" s="16" t="s">
        <v>181</v>
      </c>
      <c r="D8" s="15" t="s">
        <v>182</v>
      </c>
      <c r="E8" s="15" t="s">
        <v>175</v>
      </c>
      <c r="F8" s="15" t="s">
        <v>180</v>
      </c>
      <c r="G8" s="17" t="s">
        <v>41</v>
      </c>
      <c r="H8" s="16"/>
    </row>
    <row r="9" customFormat="false" ht="15" hidden="false" customHeight="true" outlineLevel="0" collapsed="false">
      <c r="A9" s="13" t="s">
        <v>183</v>
      </c>
      <c r="B9" s="14"/>
      <c r="C9" s="14"/>
      <c r="D9" s="14"/>
      <c r="E9" s="14"/>
      <c r="F9" s="14"/>
      <c r="G9" s="14"/>
      <c r="H9" s="14"/>
    </row>
    <row r="10" customFormat="false" ht="15" hidden="false" customHeight="true" outlineLevel="0" collapsed="false">
      <c r="A10" s="15" t="n">
        <v>4</v>
      </c>
      <c r="B10" s="15" t="s">
        <v>184</v>
      </c>
      <c r="C10" s="16" t="s">
        <v>185</v>
      </c>
      <c r="D10" s="15" t="s">
        <v>186</v>
      </c>
      <c r="E10" s="15" t="s">
        <v>187</v>
      </c>
      <c r="F10" s="15" t="s">
        <v>180</v>
      </c>
      <c r="G10" s="17" t="s">
        <v>41</v>
      </c>
      <c r="H10" s="16"/>
    </row>
    <row r="11" customFormat="false" ht="15" hidden="false" customHeight="true" outlineLevel="0" collapsed="false">
      <c r="A11" s="13" t="s">
        <v>188</v>
      </c>
      <c r="B11" s="14"/>
      <c r="C11" s="14"/>
      <c r="D11" s="14"/>
      <c r="E11" s="14"/>
      <c r="F11" s="14"/>
      <c r="G11" s="14"/>
      <c r="H11" s="14"/>
    </row>
    <row r="12" customFormat="false" ht="15" hidden="false" customHeight="true" outlineLevel="0" collapsed="false">
      <c r="A12" s="15" t="n">
        <v>5</v>
      </c>
      <c r="B12" s="15" t="s">
        <v>189</v>
      </c>
      <c r="C12" s="16" t="s">
        <v>190</v>
      </c>
      <c r="D12" s="15" t="s">
        <v>191</v>
      </c>
      <c r="E12" s="15" t="s">
        <v>192</v>
      </c>
      <c r="F12" s="15" t="s">
        <v>180</v>
      </c>
      <c r="G12" s="17" t="s">
        <v>41</v>
      </c>
      <c r="H12" s="16"/>
    </row>
    <row r="13" customFormat="false" ht="15" hidden="false" customHeight="true" outlineLevel="0" collapsed="false">
      <c r="A13" s="13" t="s">
        <v>193</v>
      </c>
      <c r="B13" s="14"/>
      <c r="C13" s="14"/>
      <c r="D13" s="14"/>
      <c r="E13" s="14"/>
      <c r="F13" s="14"/>
      <c r="G13" s="14"/>
      <c r="H13" s="14"/>
    </row>
    <row r="14" customFormat="false" ht="15" hidden="false" customHeight="true" outlineLevel="0" collapsed="false">
      <c r="A14" s="15" t="n">
        <v>6</v>
      </c>
      <c r="B14" s="15" t="s">
        <v>194</v>
      </c>
      <c r="C14" s="16" t="s">
        <v>195</v>
      </c>
      <c r="D14" s="15" t="s">
        <v>196</v>
      </c>
      <c r="E14" s="15" t="s">
        <v>197</v>
      </c>
      <c r="F14" s="15" t="s">
        <v>180</v>
      </c>
      <c r="G14" s="17" t="s">
        <v>41</v>
      </c>
      <c r="H14" s="16"/>
    </row>
    <row r="15" customFormat="false" ht="23.25" hidden="false" customHeight="true" outlineLevel="0" collapsed="false">
      <c r="A15" s="15" t="n">
        <v>7</v>
      </c>
      <c r="B15" s="15" t="s">
        <v>194</v>
      </c>
      <c r="C15" s="16" t="s">
        <v>198</v>
      </c>
      <c r="D15" s="15" t="s">
        <v>199</v>
      </c>
      <c r="E15" s="15" t="s">
        <v>200</v>
      </c>
      <c r="F15" s="15" t="s">
        <v>201</v>
      </c>
      <c r="G15" s="17" t="s">
        <v>41</v>
      </c>
      <c r="H15" s="16" t="s">
        <v>202</v>
      </c>
    </row>
    <row r="16" customFormat="false" ht="15" hidden="false" customHeight="true" outlineLevel="0" collapsed="false">
      <c r="A16" s="13" t="s">
        <v>203</v>
      </c>
      <c r="B16" s="14"/>
      <c r="C16" s="14"/>
      <c r="D16" s="14"/>
      <c r="E16" s="14"/>
      <c r="F16" s="14"/>
      <c r="G16" s="14"/>
      <c r="H16" s="14"/>
    </row>
    <row r="17" customFormat="false" ht="34.5" hidden="false" customHeight="true" outlineLevel="0" collapsed="false">
      <c r="A17" s="15" t="n">
        <v>8</v>
      </c>
      <c r="B17" s="15" t="s">
        <v>204</v>
      </c>
      <c r="C17" s="16" t="s">
        <v>205</v>
      </c>
      <c r="D17" s="15" t="s">
        <v>206</v>
      </c>
      <c r="E17" s="15" t="s">
        <v>200</v>
      </c>
      <c r="F17" s="15" t="s">
        <v>180</v>
      </c>
      <c r="G17" s="17" t="s">
        <v>41</v>
      </c>
      <c r="H17" s="16" t="s">
        <v>207</v>
      </c>
    </row>
    <row r="18" customFormat="false" ht="23.25" hidden="false" customHeight="true" outlineLevel="0" collapsed="false">
      <c r="A18" s="15" t="n">
        <v>9</v>
      </c>
      <c r="B18" s="15" t="s">
        <v>204</v>
      </c>
      <c r="C18" s="16" t="s">
        <v>208</v>
      </c>
      <c r="D18" s="15" t="s">
        <v>209</v>
      </c>
      <c r="E18" s="15" t="s">
        <v>175</v>
      </c>
      <c r="F18" s="15" t="s">
        <v>201</v>
      </c>
      <c r="G18" s="17" t="s">
        <v>41</v>
      </c>
      <c r="H18" s="16" t="s">
        <v>210</v>
      </c>
    </row>
  </sheetData>
  <autoFilter ref="A4:H18"/>
  <hyperlinks>
    <hyperlink ref="G6" r:id="rId1" display="Apply ↗"/>
    <hyperlink ref="G7" r:id="rId2" display="Apply ↗"/>
    <hyperlink ref="G8" r:id="rId3" display="Apply ↗"/>
    <hyperlink ref="G10" r:id="rId4" display="Apply ↗"/>
    <hyperlink ref="G12" r:id="rId5" display="Apply ↗"/>
    <hyperlink ref="G14" r:id="rId6" display="Apply ↗"/>
    <hyperlink ref="G15" r:id="rId7" display="Apply ↗"/>
    <hyperlink ref="G17" r:id="rId8" display="Apply ↗"/>
    <hyperlink ref="G18" r:id="rId9"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2026-10-08T07:08:53Z</dcterms:created>
  <dc:creator>openpyxl</dc:creator>
  <dc:description/>
  <dc:language>en-US</dc:language>
  <cp:lastModifiedBy/>
  <dcterms:modified xsi:type="dcterms:W3CDTF">2026-10-13T07:17:04Z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