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VA &amp; Admin" sheetId="3" state="visible" r:id="rId5"/>
    <sheet name="HR &amp; Legal" sheetId="4" state="visible" r:id="rId6"/>
    <sheet name="Sales" sheetId="5" state="visible" r:id="rId7"/>
    <sheet name="Marketing &amp; Creative" sheetId="6" state="visible" r:id="rId8"/>
    <sheet name="Tech &amp; Operations" sheetId="7" state="visible" r:id="rId9"/>
    <sheet name="micro1 Referral" sheetId="8" state="visible" r:id="rId10"/>
  </sheets>
  <definedNames>
    <definedName function="false" hidden="false" localSheetId="1" name="_xlnm.Print_Area" vbProcedure="false">'Customer Support'!$A$1:$L$6</definedName>
    <definedName function="false" hidden="true" localSheetId="1" name="_xlnm._FilterDatabase" vbProcedure="false">'Customer Support'!$A$4:$L$6</definedName>
    <definedName function="false" hidden="false" localSheetId="3" name="_xlnm.Print_Area" vbProcedure="false">'HR &amp; Legal'!$A$1:$L$8</definedName>
    <definedName function="false" hidden="true" localSheetId="3" name="_xlnm._FilterDatabase" vbProcedure="false">'HR &amp; Legal'!$A$4:$L$8</definedName>
    <definedName function="false" hidden="false" localSheetId="5" name="_xlnm.Print_Area" vbProcedure="false">'Marketing &amp; Creative'!$A$1:$L$12</definedName>
    <definedName function="false" hidden="true" localSheetId="5" name="_xlnm._FilterDatabase" vbProcedure="false">'Marketing &amp; Creative'!$A$4:$L$12</definedName>
    <definedName function="false" hidden="true" localSheetId="7" name="_xlnm._FilterDatabase" vbProcedure="false">'micro1 Referral'!$A$4:$H$7</definedName>
    <definedName function="false" hidden="false" localSheetId="4" name="_xlnm.Print_Area" vbProcedure="false">Sales!$A$1:$L$6</definedName>
    <definedName function="false" hidden="true" localSheetId="4" name="_xlnm._FilterDatabase" vbProcedure="false">Sales!$A$4:$L$6</definedName>
    <definedName function="false" hidden="false" localSheetId="6" name="_xlnm.Print_Area" vbProcedure="false">'Tech &amp; Operations'!$A$1:$L$16</definedName>
    <definedName function="false" hidden="true" localSheetId="6" name="_xlnm._FilterDatabase" vbProcedure="false">'Tech &amp; Operations'!$A$4:$L$16</definedName>
    <definedName function="false" hidden="false" localSheetId="2" name="_xlnm.Print_Area" vbProcedure="false">'VA &amp; Admin'!$A$1:$L$12</definedName>
    <definedName function="false" hidden="true" localSheetId="2" name="_xlnm._FilterDatabase" vbProcedure="false">'VA &amp; Admin'!$A$4:$L$12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<sst xmlns="http://schemas.openxmlformats.org/spreadsheetml/2006/main" count="385" uniqueCount="165">
  <si>
    <t xml:space="preserve">ERJ Remote Job Search Sheet — 31 Oct 2026</t>
  </si>
  <si>
    <t xml:space="preserve">Roles posted or first appearing from 29 Oct (including those that showed up after the 29 Oct sheet was made) to 31 Oct · fully remote · open to Nigeria · no repeated links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</si>
  <si>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</si>
  <si>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</si>
  <si>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</si>
  <si>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</si>
  <si>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</si>
  <si>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VA &amp; Admin</t>
  </si>
  <si>
    <t xml:space="preserve">HR &amp; Legal</t>
  </si>
  <si>
    <t xml:space="preserve">Sales</t>
  </si>
  <si>
    <t xml:space="preserve">Marketing &amp; Creative</t>
  </si>
  <si>
    <t xml:space="preserve">Tech &amp; Operations</t>
  </si>
  <si>
    <t xml:space="preserve">micro1 Referral</t>
  </si>
  <si>
    <t xml:space="preserve">Notes</t>
  </si>
  <si>
    <t xml:space="preserve">• Rule used: the posting names Nigeria, Africa, or worldwide/anywhere. EMEA-only, plain "Remote" and roles with office days were left out.</t>
  </si>
  <si>
    <t xml:space="preserve">• Every link here is new: none appears on the 29 Oct sheet or any earlier ERJ sheet.</t>
  </si>
  <si>
    <t xml:space="preserve">• Wider web search added OpenFn (Africa-wide) and a new 10Alytics role. Openhill Global: nothing new.</t>
  </si>
  <si>
    <t xml:space="preserve">• micro1 posted mostly language roles this week; only English-only, worldwide roles are listed.</t>
  </si>
  <si>
    <t xml:space="preserve">• Left out: micro1 foreign-language and voice roles, British English Voice Expert (native UK accent), US-only Inpatient Coder, Defense Analyst and U.S. Government engineer; Veta Virtual Accountant (LATAM/Europe only); Netlify talent pool (not a job); 20four7VA bilingual receptionist; Jobgether German localization; South Africa-only VA, paralegal and recruiter roles; Moniepoint People Helpdesk roles (EU board only).</t>
  </si>
  <si>
    <t xml:space="preserve">Customer Support — new remote roles open to Nigeria (31 Oct 2026)</t>
  </si>
  <si>
    <t xml:space="preserve">Posted or first appeared 29–31 Oct 2026 · fully remote · open to people in Nigeria · no link from any earlier ERJ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</si>
  <si>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</si>
  <si>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</si>
  <si>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</si>
  <si>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</si>
  <si>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</si>
  <si>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</si>
  <si>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</si>
  <si>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</si>
  <si>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Source</t>
  </si>
  <si>
    <t xml:space="preserve">Posted</t>
  </si>
  <si>
    <t xml:space="preserve">Apply link</t>
  </si>
  <si>
    <t xml:space="preserve">Note</t>
  </si>
  <si>
    <t xml:space="preserve">▸ Worldwide / global</t>
  </si>
  <si>
    <t xml:space="preserve">Worldwide / Serbia / Spain / Poland / Georgia</t>
  </si>
  <si>
    <t xml:space="preserve">Product Owner (Customer Experience)</t>
  </si>
  <si>
    <t xml:space="preserve">Social Discovery Group</t>
  </si>
  <si>
    <t xml:space="preserve">3+ years</t>
  </si>
  <si>
    <t xml:space="preserve">$5000</t>
  </si>
  <si>
    <t xml:space="preserve">Own the customer journey end-to-end, from registration to quality conversations, identifying friction points; Dig into data yourself: explore analytics with AI tools (e.g., querying BigQuery via MCP), validate insights, and turn them into strong</t>
  </si>
  <si>
    <t xml:space="preserve">Breezy</t>
  </si>
  <si>
    <t xml:space="preserve">30 Oct</t>
  </si>
  <si>
    <t xml:space="preserve">Apply ↗</t>
  </si>
  <si>
    <t xml:space="preserve">VA &amp; Admin — new remote roles open to Nigeria (31 Oct 2026)</t>
  </si>
  <si>
    <t xml:space="preserve">Worldwide</t>
  </si>
  <si>
    <t xml:space="preserve">Executive &amp; Business Operations Virtual Assistant</t>
  </si>
  <si>
    <t xml:space="preserve">20four7VA</t>
  </si>
  <si>
    <t xml:space="preserve">Not stated</t>
  </si>
  <si>
    <t xml:space="preserve">Undisclosed</t>
  </si>
  <si>
    <t xml:space="preserve">Administrative, executive assistant, or business operations experience required; Excellent written English and professional email communication required</t>
  </si>
  <si>
    <t xml:space="preserve">29 Oct</t>
  </si>
  <si>
    <t xml:space="preserve">Logistics &amp; Inventory Management Virtual Assistant</t>
  </si>
  <si>
    <t xml:space="preserve">Experience in inventory management, logistics coordination, supply chain support, or e-commerce operations; Familiarity with Shopify strongly preferred</t>
  </si>
  <si>
    <t xml:space="preserve">Worldwide / Philippines</t>
  </si>
  <si>
    <t xml:space="preserve">Publishing Operations Virtual Assistant</t>
  </si>
  <si>
    <t xml:space="preserve">Hands-on Amazon KDP publishing experience strongly preferred; Excellent written English and strong proofreading skills required</t>
  </si>
  <si>
    <t xml:space="preserve">Social Media &amp; Grant Application Support Virtual Assistant</t>
  </si>
  <si>
    <t xml:space="preserve">Social media content creation and publishing experience required; Strong written English and caption-writing skills required</t>
  </si>
  <si>
    <t xml:space="preserve">Social Media Community Engagement &amp; Outreach Virtual Assistant</t>
  </si>
  <si>
    <t xml:space="preserve">Experience in social media management, community engagement, or online outreach; Strong written English and the ability to write natural, professional, and personalized comments</t>
  </si>
  <si>
    <t xml:space="preserve">▸ Nigeria-based remote</t>
  </si>
  <si>
    <t xml:space="preserve">Remote (Nigerian company)</t>
  </si>
  <si>
    <t xml:space="preserve">Quality Assurance &amp; Intern Support Officer</t>
  </si>
  <si>
    <t xml:space="preserve">10Alytics</t>
  </si>
  <si>
    <t xml:space="preserve">See posting</t>
  </si>
  <si>
    <t xml:space="preserve">Not listed</t>
  </si>
  <si>
    <t xml:space="preserve">Session coordination, intern engagement and quality checks; 2–3 yrs</t>
  </si>
  <si>
    <t xml:space="preserve">Career page</t>
  </si>
  <si>
    <t xml:space="preserve">HR &amp; Legal — new remote roles open to Nigeria (31 Oct 2026)</t>
  </si>
  <si>
    <t xml:space="preserve">Remote / ALX Africa</t>
  </si>
  <si>
    <t xml:space="preserve">Talent Engagement Lead</t>
  </si>
  <si>
    <t xml:space="preserve">ALX Africa</t>
  </si>
  <si>
    <t xml:space="preserve">8–10 years</t>
  </si>
  <si>
    <t xml:space="preserve">8 to 10 years of relevant experience in learning and development, talent development, organisational development, employee experience; Experience leading a similar function or multidisciplinary team</t>
  </si>
  <si>
    <t xml:space="preserve">Greenhouse</t>
  </si>
  <si>
    <t xml:space="preserve">Nigeria (Remote) / Nigeria (Remote)</t>
  </si>
  <si>
    <t xml:space="preserve">Head of Compliance &amp; MLRO - Nigeria</t>
  </si>
  <si>
    <t xml:space="preserve">OKX</t>
  </si>
  <si>
    <t xml:space="preserve">8+ years</t>
  </si>
  <si>
    <t xml:space="preserve">Deep understanding of FATF Recommendations and their application to virtual asset service providers, including the Travel Rule; Strong knowledge of crypto-specific AML typologies</t>
  </si>
  <si>
    <t xml:space="preserve">Sales — new remote roles open to Nigeria (31 Oct 2026)</t>
  </si>
  <si>
    <t xml:space="preserve">Anywhere in the World</t>
  </si>
  <si>
    <t xml:space="preserve">Sales Development Representative - Strategics</t>
  </si>
  <si>
    <t xml:space="preserve">Legion</t>
  </si>
  <si>
    <t xml:space="preserve">2+ years</t>
  </si>
  <si>
    <t xml:space="preserve">$70,000.00 - $80,000.00</t>
  </si>
  <si>
    <t xml:space="preserve">2 years of sales development prospecting experience for Saas company; Comfortable prospecting, cold calling, and overcoming objections</t>
  </si>
  <si>
    <t xml:space="preserve">We Work Remotely</t>
  </si>
  <si>
    <t xml:space="preserve">Listed on We Work Remotely (no login needed)</t>
  </si>
  <si>
    <t xml:space="preserve">Marketing &amp; Creative — new remote roles open to Nigeria (31 Oct 2026)</t>
  </si>
  <si>
    <t xml:space="preserve">Project-Based Graphic Designer</t>
  </si>
  <si>
    <t xml:space="preserve">Strong proficiency in Canva, including creating and editing professional design assets and reusable templates; Experience in graphic design, branding, and social media marketing materials</t>
  </si>
  <si>
    <t xml:space="preserve">Marketing Manager, MENAT</t>
  </si>
  <si>
    <t xml:space="preserve">Roblox</t>
  </si>
  <si>
    <t xml:space="preserve">8+ years of marketing experience with a deep, pan-regional focus across MENAT; Independent Drive</t>
  </si>
  <si>
    <t xml:space="preserve">▸ Region list incl. Nigeria</t>
  </si>
  <si>
    <t xml:space="preserve">Egypt / Argentina / Nigeria</t>
  </si>
  <si>
    <t xml:space="preserve">Growth &amp; Content Marketing Specialist (UGC)</t>
  </si>
  <si>
    <t xml:space="preserve">Scale Army</t>
  </si>
  <si>
    <t xml:space="preserve">$2.1K – $2.5K per month</t>
  </si>
  <si>
    <t xml:space="preserve">Strong ability to develop creative concepts, video scripts, and engaging hooks for short-form content; Ability to produce and edit 30-to-60-second UGC videos and software product demonstrations</t>
  </si>
  <si>
    <t xml:space="preserve">Ashby</t>
  </si>
  <si>
    <t xml:space="preserve">Remote — Lagos, Nigeria</t>
  </si>
  <si>
    <t xml:space="preserve">Creative Designer (Static and Motion) (PCS909)</t>
  </si>
  <si>
    <t xml:space="preserve">Hire Overseas</t>
  </si>
  <si>
    <t xml:space="preserve">Proven creative design experience with a strong portfolio showing finished work across static formats including thumbnails; Genuine understanding of how design works in a video and motion context including visual hierarchy, pacing, and storytelling</t>
  </si>
  <si>
    <t xml:space="preserve">Workable</t>
  </si>
  <si>
    <t xml:space="preserve">Nigeria</t>
  </si>
  <si>
    <t xml:space="preserve">Google Ads Media Buyer</t>
  </si>
  <si>
    <t xml:space="preserve">Jobgether partner</t>
  </si>
  <si>
    <t xml:space="preserve">1–2 years</t>
  </si>
  <si>
    <t xml:space="preserve">Manage Google Ads accounts end-to-end, taking ownership of campaign strategy, execution, optimization, budgets; Develop and implement performance-driven advertising strategies focused on generating sustainable profit</t>
  </si>
  <si>
    <t xml:space="preserve">Lever</t>
  </si>
  <si>
    <t xml:space="preserve">Posted via Jobgether (partner company not named)</t>
  </si>
  <si>
    <t xml:space="preserve">Tech &amp; Operations — new remote roles open to Nigeria (31 Oct 2026)</t>
  </si>
  <si>
    <t xml:space="preserve">Remote - Global</t>
  </si>
  <si>
    <t xml:space="preserve">Software Engineer</t>
  </si>
  <si>
    <t xml:space="preserve">Centre for Effective Altruism</t>
  </si>
  <si>
    <t xml:space="preserve">$134,900 - $166,725</t>
  </si>
  <si>
    <t xml:space="preserve">This is a full-time, remote position </t>
  </si>
  <si>
    <t xml:space="preserve">Senior Integration Engineer</t>
  </si>
  <si>
    <t xml:space="preserve">7+ years</t>
  </si>
  <si>
    <t xml:space="preserve">$3,200</t>
  </si>
  <si>
    <t xml:space="preserve">7+ years of business/information/solution/technical architecture experience; Graduate of a university with a Bachelor's or Master's degree in a relevant STEM field, including Information Systems, Engineering</t>
  </si>
  <si>
    <t xml:space="preserve">Deputy CDO</t>
  </si>
  <si>
    <t xml:space="preserve">6–10 years</t>
  </si>
  <si>
    <t xml:space="preserve">6–10+ years in data, analytics, or ML domains, including 3–5+ years in leadership roles; Proven track record delivering cross-functional projects involving ML, data platforms, experimentation, and analytics</t>
  </si>
  <si>
    <t xml:space="preserve">Poland / Georgia / Serbia / Worldwide</t>
  </si>
  <si>
    <t xml:space="preserve">Senior .NET Developer (Fintech)</t>
  </si>
  <si>
    <t xml:space="preserve">5+ years</t>
  </si>
  <si>
    <t xml:space="preserve">€2,800 per year</t>
  </si>
  <si>
    <t xml:space="preserve">5+ years of commercial experience with C# and ASP.NET Core; Experience designing microservices</t>
  </si>
  <si>
    <t xml:space="preserve">Europe, Middle East, Africa, Asia Pacific</t>
  </si>
  <si>
    <t xml:space="preserve">Vice President, International</t>
  </si>
  <si>
    <t xml:space="preserve">Toptal</t>
  </si>
  <si>
    <t xml:space="preserve">10+ years</t>
  </si>
  <si>
    <t xml:space="preserve">Bachelor’s degree is required. An MBA or a master’s degree in a relevant field is preferred; 10+ years of B2B commercial experience, including SaaS or services sales to enterprise clients</t>
  </si>
  <si>
    <t xml:space="preserve">Global - Remote / Global - Remote</t>
  </si>
  <si>
    <t xml:space="preserve">Senior DevOps &amp; Infrastructure Engineer</t>
  </si>
  <si>
    <t xml:space="preserve">Turing</t>
  </si>
  <si>
    <t xml:space="preserve">Independent operational experience in AWS or Azure alongside GCP; Experience with configuration-management tooling such as Ansible, Chef, or Puppet</t>
  </si>
  <si>
    <t xml:space="preserve">Remote — Africa</t>
  </si>
  <si>
    <t xml:space="preserve">Senior IT Implementation Consultant</t>
  </si>
  <si>
    <t xml:space="preserve">OpenFn</t>
  </si>
  <si>
    <t xml:space="preserve">Full-time contractor; implements data-integration projects for health and NGO clients</t>
  </si>
  <si>
    <t xml:space="preserve">Remote — Nigeria</t>
  </si>
  <si>
    <t xml:space="preserve">Commercial Aviation &amp; Flight Operations Specialist - AI Projects</t>
  </si>
  <si>
    <t xml:space="preserve">Gramian Consulting Group</t>
  </si>
  <si>
    <t xml:space="preserve">Hold an Airline Transport Pilot (ATP) certificate, or have relevant qualifications; Have real, hands-on experience with FAA Part 135 operations</t>
  </si>
  <si>
    <t xml:space="preserve">Forensic Firearms &amp; Toolmark Examination Expert</t>
  </si>
  <si>
    <t xml:space="preserve">Direct professional experience as a Forensic Firearms and Toolmark Examiner or an equivalent specialist performing firearm; Practical experience with comparison microscopy and the examination of bullets and cartridge cases</t>
  </si>
  <si>
    <t xml:space="preserve">micro1 — new roles on your referral link (31 Oct 2026)</t>
  </si>
  <si>
    <t xml:space="preserve">Every "Apply ↗" opens that exact micro1 job with your referral code built in.</t>
  </si>
  <si>
    <t xml:space="preserve">Field</t>
  </si>
  <si>
    <t xml:space="preserve">Openings</t>
  </si>
  <si>
    <t xml:space="preserve">Apply via referral</t>
  </si>
  <si>
    <t xml:space="preserve">▸ Engineering Experts</t>
  </si>
  <si>
    <t xml:space="preserve">Engineering Experts</t>
  </si>
  <si>
    <t xml:space="preserve">Principal Engineer / Professor — Technical Expert</t>
  </si>
  <si>
    <t xml:space="preserve">$85–185/hr</t>
  </si>
  <si>
    <t xml:space="preserve">5</t>
  </si>
  <si>
    <t xml:space="preserve">31 Oct</t>
  </si>
  <si>
    <t xml:space="preserve">Aerospace, semiconductors, manufacturing or materials science depth</t>
  </si>
  <si>
    <t xml:space="preserve">Manufacturing &amp; Industrial Engineering Expert</t>
  </si>
  <si>
    <t xml:space="preserve">Production systems; senior engineering judgment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</si>
</sst>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31_Oct_2026.xlsx" TargetMode="External"/><Relationship Id="rId2" Type="http://schemas.openxmlformats.org/officeDocument/2006/relationships/hyperlink" Target="ERJ_Search_Sheet_31_Oct_2026.xlsx" TargetMode="External"/><Relationship Id="rId3" Type="http://schemas.openxmlformats.org/officeDocument/2006/relationships/hyperlink" Target="ERJ_Search_Sheet_31_Oct_2026.xlsx" TargetMode="External"/><Relationship Id="rId4" Type="http://schemas.openxmlformats.org/officeDocument/2006/relationships/hyperlink" Target="ERJ_Search_Sheet_31_Oct_2026.xlsx" TargetMode="External"/><Relationship Id="rId5" Type="http://schemas.openxmlformats.org/officeDocument/2006/relationships/hyperlink" Target="ERJ_Search_Sheet_31_Oct_2026.xlsx" TargetMode="External"/><Relationship Id="rId6" Type="http://schemas.openxmlformats.org/officeDocument/2006/relationships/hyperlink" Target="ERJ_Search_Sheet_31_Oct_2026.xlsx" TargetMode="External"/><Relationship Id="rId7" Type="http://schemas.openxmlformats.org/officeDocument/2006/relationships/hyperlink" Target="ERJ_Search_Sheet_31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ocial-discovery-ventures.breezy.hr/p/afd8d2649cc001-product-owner-customer-experience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4eec4156efeb-cpt-11716-executive-business-operations-virtual-assistant" TargetMode="External"/><Relationship Id="rId2" Type="http://schemas.openxmlformats.org/officeDocument/2006/relationships/hyperlink" Target="https://20four7va.breezy.hr/p/f05aabe26543-cpt-11184-logistics-inventory-management-virtual-assistant" TargetMode="External"/><Relationship Id="rId3" Type="http://schemas.openxmlformats.org/officeDocument/2006/relationships/hyperlink" Target="https://20four7va.breezy.hr/p/17c031438856-cpt-11711-publishing-operations-virtual-assistant" TargetMode="External"/><Relationship Id="rId4" Type="http://schemas.openxmlformats.org/officeDocument/2006/relationships/hyperlink" Target="https://20four7va.breezy.hr/p/49eed0516769-cpt-11718-social-media-grant-application-support-virtual-assistant" TargetMode="External"/><Relationship Id="rId5" Type="http://schemas.openxmlformats.org/officeDocument/2006/relationships/hyperlink" Target="https://20four7va.breezy.hr/p/869a21a00040-cpt-11729-social-media-community-engagement-outreach-virtual-assistant" TargetMode="External"/><Relationship Id="rId6" Type="http://schemas.openxmlformats.org/officeDocument/2006/relationships/hyperlink" Target="https://www.10alytics.io/careers/quality-assurance-intern-support-officer" TargetMode="External"/><Relationship Id="rId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ob-boards.greenhouse.io/alxafrica/jobs/8334398" TargetMode="External"/><Relationship Id="rId2" Type="http://schemas.openxmlformats.org/officeDocument/2006/relationships/hyperlink" Target="https://job-boards.greenhouse.io/okx/jobs/8091184003" TargetMode="External"/><Relationship Id="rId3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eworkremotely.com/remote-jobs/legion-sales-development-representative-strategics" TargetMode="External"/><Relationship Id="rId2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9510c7bbcc34-cpt-11728-project-based-graphic-designer" TargetMode="External"/><Relationship Id="rId2" Type="http://schemas.openxmlformats.org/officeDocument/2006/relationships/hyperlink" Target="https://weworkremotely.com/remote-jobs/roblox-marketing-manager-menat" TargetMode="External"/><Relationship Id="rId3" Type="http://schemas.openxmlformats.org/officeDocument/2006/relationships/hyperlink" Target="https://jobs.ashbyhq.com/Scale%20Army%20Careers/f42b8dd0-8e74-4a07-824e-03bdb26b07ff" TargetMode="External"/><Relationship Id="rId4" Type="http://schemas.openxmlformats.org/officeDocument/2006/relationships/hyperlink" Target="https://apply.workable.com/j/4E45523B25" TargetMode="External"/><Relationship Id="rId5" Type="http://schemas.openxmlformats.org/officeDocument/2006/relationships/hyperlink" Target="https://jobs.lever.co/jobgether/304aa00f-4967-40dc-b8c0-6f4d07ed792b" TargetMode="External"/><Relationship Id="rId6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jobs.ashbyhq.com/centreforeffectivealtruism/ef7d451f-d44c-4a14-95ee-d9e1cea065ad" TargetMode="External"/><Relationship Id="rId2" Type="http://schemas.openxmlformats.org/officeDocument/2006/relationships/hyperlink" Target="https://weworkremotely.com/remote-jobs/legion-senior-integration-engineer" TargetMode="External"/><Relationship Id="rId3" Type="http://schemas.openxmlformats.org/officeDocument/2006/relationships/hyperlink" Target="https://social-discovery-ventures.breezy.hr/p/ef368709276901-deputy-cdo" TargetMode="External"/><Relationship Id="rId4" Type="http://schemas.openxmlformats.org/officeDocument/2006/relationships/hyperlink" Target="https://social-discovery-ventures.breezy.hr/p/074711ccc88801-senior-net-developer-fintech" TargetMode="External"/><Relationship Id="rId5" Type="http://schemas.openxmlformats.org/officeDocument/2006/relationships/hyperlink" Target="https://jobs.lever.co/toptal/b7b34aa0-ff60-4b22-b2d3-4e03e7b2d090" TargetMode="External"/><Relationship Id="rId6" Type="http://schemas.openxmlformats.org/officeDocument/2006/relationships/hyperlink" Target="https://job-boards.greenhouse.io/turing/jobs/6218247004" TargetMode="External"/><Relationship Id="rId7" Type="http://schemas.openxmlformats.org/officeDocument/2006/relationships/hyperlink" Target="https://apply.workable.com/openfn/j/B5CE217424" TargetMode="External"/><Relationship Id="rId8" Type="http://schemas.openxmlformats.org/officeDocument/2006/relationships/hyperlink" Target="https://apply.workable.com/j/DC8F199FBB" TargetMode="External"/><Relationship Id="rId9" Type="http://schemas.openxmlformats.org/officeDocument/2006/relationships/hyperlink" Target="https://apply.workable.com/j/5FC0302D44" TargetMode="External"/><Relationship Id="rId10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jobs.micro1.ai/post/954f5912-19a0-45c9-bcad-ab62ace16283?referralCode=d3605f74-92f0-4f1c-b8e2-4ab757bffc26" TargetMode="External"/><Relationship Id="rId2" Type="http://schemas.openxmlformats.org/officeDocument/2006/relationships/hyperlink" Target="https://jobs.micro1.ai/post/4a2fb544-c427-4da3-80bb-ee83ff4802bb?referralCode=d3605f74-92f0-4f1c-b8e2-4ab757bffc26" TargetMode="External"/><Relationship Id="rId3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COUNTIF('Customer Support'!$E$5:$E$6,"Open*")</f>
        <v>1</v>
      </c>
      <c r="C5" s="5" t="n">
        <f aca="false">COUNTIF('Customer Support'!$E$5:$E$6,"Check*")</f>
        <v>0</v>
      </c>
      <c r="D5" s="5" t="n">
        <f aca="false">B5+C5</f>
        <v>1</v>
      </c>
    </row>
    <row r="6" customFormat="false" ht="15" hidden="false" customHeight="false" outlineLevel="0" collapsed="false">
      <c r="A6" s="4" t="s">
        <v>7</v>
      </c>
      <c r="B6" s="5" t="n">
        <f aca="false">COUNTIF('VA &amp; Admin'!$E$5:$E$12,"Open*")</f>
        <v>6</v>
      </c>
      <c r="C6" s="5" t="n">
        <f aca="false">COUNTIF('VA &amp; Admin'!$E$5:$E$12,"Check*")</f>
        <v>0</v>
      </c>
      <c r="D6" s="5" t="n">
        <f aca="false">B6+C6</f>
        <v>6</v>
      </c>
    </row>
    <row r="7" customFormat="false" ht="15" hidden="false" customHeight="false" outlineLevel="0" collapsed="false">
      <c r="A7" s="4" t="s">
        <v>8</v>
      </c>
      <c r="B7" s="5" t="n">
        <f aca="false">COUNTIF('HR &amp; Legal'!$E$5:$E$8,"Open*")</f>
        <v>2</v>
      </c>
      <c r="C7" s="5" t="n">
        <f aca="false">COUNTIF('HR &amp; Legal'!$E$5:$E$8,"Check*")</f>
        <v>0</v>
      </c>
      <c r="D7" s="5" t="n">
        <f aca="false">B7+C7</f>
        <v>2</v>
      </c>
    </row>
    <row r="8" customFormat="false" ht="15" hidden="false" customHeight="false" outlineLevel="0" collapsed="false">
      <c r="A8" s="4" t="s">
        <v>9</v>
      </c>
      <c r="B8" s="5" t="n">
        <f aca="false">COUNTIF(Sales!$E$5:$E$6,"Open*")</f>
        <v>1</v>
      </c>
      <c r="C8" s="5" t="n">
        <f aca="false">COUNTIF(Sales!$E$5:$E$6,"Check*")</f>
        <v>0</v>
      </c>
      <c r="D8" s="5" t="n">
        <f aca="false">B8+C8</f>
        <v>1</v>
      </c>
    </row>
    <row r="9" customFormat="false" ht="15" hidden="false" customHeight="false" outlineLevel="0" collapsed="false">
      <c r="A9" s="4" t="s">
        <v>10</v>
      </c>
      <c r="B9" s="5" t="n">
        <f aca="false">COUNTIF('Marketing &amp; Creative'!$E$5:$E$12,"Open*")</f>
        <v>5</v>
      </c>
      <c r="C9" s="5" t="n">
        <f aca="false">COUNTIF('Marketing &amp; Creative'!$E$5:$E$12,"Check*")</f>
        <v>0</v>
      </c>
      <c r="D9" s="5" t="n">
        <f aca="false">B9+C9</f>
        <v>5</v>
      </c>
    </row>
    <row r="10" customFormat="false" ht="15" hidden="false" customHeight="false" outlineLevel="0" collapsed="false">
      <c r="A10" s="4" t="s">
        <v>11</v>
      </c>
      <c r="B10" s="5" t="n">
        <f aca="false">COUNTIF('Tech &amp; Operations'!$E$5:$E$16,"Open*")</f>
        <v>9</v>
      </c>
      <c r="C10" s="5" t="n">
        <f aca="false">COUNTIF('Tech &amp; Operations'!$E$5:$E$16,"Check*")</f>
        <v>0</v>
      </c>
      <c r="D10" s="5" t="n">
        <f aca="false">B10+C10</f>
        <v>9</v>
      </c>
    </row>
    <row r="11" customFormat="false" ht="15" hidden="false" customHeight="false" outlineLevel="0" collapsed="false">
      <c r="A11" s="4" t="s">
        <v>12</v>
      </c>
      <c r="B11" s="5" t="n">
        <f aca="false">COUNTA('micro1 Referral'!$G$5:$G$7)</f>
        <v>2</v>
      </c>
      <c r="C11" s="0" t="n">
        <v>0</v>
      </c>
      <c r="D11" s="5" t="n">
        <f aca="false">B11+C11</f>
        <v>2</v>
      </c>
    </row>
    <row r="12" customFormat="false" ht="15" hidden="false" customHeight="false" outlineLevel="0" collapsed="false">
      <c r="A12" s="6" t="s">
        <v>5</v>
      </c>
      <c r="B12" s="6" t="n">
        <f aca="false">SUM(B5:B11)</f>
        <v>26</v>
      </c>
      <c r="C12" s="6" t="n">
        <f aca="false">SUM(C5:C11)</f>
        <v>0</v>
      </c>
      <c r="D12" s="6" t="n">
        <f aca="false">SUM(D5:D11)</f>
        <v>26</v>
      </c>
    </row>
    <row r="14" customFormat="false" ht="15" hidden="false" customHeight="false" outlineLevel="0" collapsed="false">
      <c r="A14" s="7" t="s">
        <v>13</v>
      </c>
    </row>
    <row r="15" customFormat="false" ht="43.5" hidden="false" customHeight="true" outlineLevel="0" collapsed="false">
      <c r="A15" s="8" t="s">
        <v>14</v>
      </c>
      <c r="B15" s="8"/>
      <c r="C15" s="8"/>
      <c r="D15" s="8"/>
    </row>
    <row r="16" customFormat="false" ht="43.5" hidden="false" customHeight="true" outlineLevel="0" collapsed="false">
      <c r="A16" s="8" t="s">
        <v>15</v>
      </c>
      <c r="B16" s="8"/>
      <c r="C16" s="8"/>
      <c r="D16" s="8"/>
    </row>
    <row r="17" customFormat="false" ht="43.5" hidden="false" customHeight="true" outlineLevel="0" collapsed="false">
      <c r="A17" s="8" t="s">
        <v>16</v>
      </c>
      <c r="B17" s="8"/>
      <c r="C17" s="8"/>
      <c r="D17" s="8"/>
    </row>
    <row r="18" customFormat="false" ht="43.5" hidden="false" customHeight="true" outlineLevel="0" collapsed="false">
      <c r="A18" s="8" t="s">
        <v>17</v>
      </c>
      <c r="B18" s="8"/>
      <c r="C18" s="8"/>
      <c r="D18" s="8"/>
    </row>
    <row r="19" customFormat="false" ht="43.5" hidden="false" customHeight="true" outlineLevel="0" collapsed="false">
      <c r="A19" s="8" t="s">
        <v>18</v>
      </c>
      <c r="B19" s="8"/>
      <c r="C19" s="8"/>
      <c r="D19" s="8"/>
    </row>
  </sheetData>
  <mergeCells count="5">
    <mergeCell ref="A15:D15"/>
    <mergeCell ref="A16:D16"/>
    <mergeCell ref="A17:D17"/>
    <mergeCell ref="A18:D18"/>
    <mergeCell ref="A19:D19"/>
  </mergeCells>
  <hyperlinks>
    <hyperlink ref="A5" r:id="rId1" location="'Customer%20Support'!A1" display="Customer Support"/>
    <hyperlink ref="A6" r:id="rId2" location="'VA%20&amp;%20Admin'!A1" display="VA &amp; Admin"/>
    <hyperlink ref="A7" r:id="rId3" location="'HR%20&amp;%20Legal'!A1" display="HR &amp; Legal"/>
    <hyperlink ref="A8" r:id="rId4" location="'Sales'!A1" display="Sales"/>
    <hyperlink ref="A9" r:id="rId5" location="'Marketing%20&amp;%20Creative'!A1" display="Marketing &amp; Creative"/>
    <hyperlink ref="A10" r:id="rId6" location="'Tech%20&amp;%20Operations'!A1" display="Tech &amp; Operations"/>
    <hyperlink ref="A11" r:id="rId7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19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57.45" hidden="false" customHeight="false" outlineLevel="0" collapsed="false">
      <c r="A6" s="13" t="n">
        <v>1</v>
      </c>
      <c r="B6" s="14" t="s">
        <v>34</v>
      </c>
      <c r="C6" s="14" t="s">
        <v>35</v>
      </c>
      <c r="D6" s="13" t="s">
        <v>36</v>
      </c>
      <c r="E6" s="13" t="s">
        <v>3</v>
      </c>
      <c r="F6" s="13" t="s">
        <v>37</v>
      </c>
      <c r="G6" s="14" t="s">
        <v>38</v>
      </c>
      <c r="H6" s="14" t="s">
        <v>39</v>
      </c>
      <c r="I6" s="13" t="s">
        <v>40</v>
      </c>
      <c r="J6" s="13" t="s">
        <v>41</v>
      </c>
      <c r="K6" s="15" t="s">
        <v>42</v>
      </c>
      <c r="L6" s="14"/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43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46.25" hidden="false" customHeight="false" outlineLevel="0" collapsed="false">
      <c r="A6" s="13" t="n">
        <v>1</v>
      </c>
      <c r="B6" s="14" t="s">
        <v>44</v>
      </c>
      <c r="C6" s="14" t="s">
        <v>45</v>
      </c>
      <c r="D6" s="13" t="s">
        <v>46</v>
      </c>
      <c r="E6" s="13" t="s">
        <v>3</v>
      </c>
      <c r="F6" s="13" t="s">
        <v>47</v>
      </c>
      <c r="G6" s="14" t="s">
        <v>48</v>
      </c>
      <c r="H6" s="14" t="s">
        <v>49</v>
      </c>
      <c r="I6" s="13" t="s">
        <v>40</v>
      </c>
      <c r="J6" s="13" t="s">
        <v>50</v>
      </c>
      <c r="K6" s="15" t="s">
        <v>42</v>
      </c>
      <c r="L6" s="14"/>
    </row>
    <row r="7" customFormat="false" ht="35.05" hidden="false" customHeight="false" outlineLevel="0" collapsed="false">
      <c r="A7" s="13" t="n">
        <v>2</v>
      </c>
      <c r="B7" s="14" t="s">
        <v>44</v>
      </c>
      <c r="C7" s="14" t="s">
        <v>51</v>
      </c>
      <c r="D7" s="13" t="s">
        <v>46</v>
      </c>
      <c r="E7" s="13" t="s">
        <v>3</v>
      </c>
      <c r="F7" s="13" t="s">
        <v>47</v>
      </c>
      <c r="G7" s="14" t="s">
        <v>48</v>
      </c>
      <c r="H7" s="14" t="s">
        <v>52</v>
      </c>
      <c r="I7" s="13" t="s">
        <v>40</v>
      </c>
      <c r="J7" s="13" t="s">
        <v>50</v>
      </c>
      <c r="K7" s="15" t="s">
        <v>42</v>
      </c>
      <c r="L7" s="14"/>
    </row>
    <row r="8" customFormat="false" ht="35.05" hidden="false" customHeight="false" outlineLevel="0" collapsed="false">
      <c r="A8" s="13" t="n">
        <v>3</v>
      </c>
      <c r="B8" s="14" t="s">
        <v>53</v>
      </c>
      <c r="C8" s="14" t="s">
        <v>54</v>
      </c>
      <c r="D8" s="13" t="s">
        <v>46</v>
      </c>
      <c r="E8" s="13" t="s">
        <v>3</v>
      </c>
      <c r="F8" s="13" t="s">
        <v>47</v>
      </c>
      <c r="G8" s="14" t="s">
        <v>48</v>
      </c>
      <c r="H8" s="14" t="s">
        <v>55</v>
      </c>
      <c r="I8" s="13" t="s">
        <v>40</v>
      </c>
      <c r="J8" s="13" t="s">
        <v>50</v>
      </c>
      <c r="K8" s="15" t="s">
        <v>42</v>
      </c>
      <c r="L8" s="14"/>
    </row>
    <row r="9" customFormat="false" ht="35.05" hidden="false" customHeight="false" outlineLevel="0" collapsed="false">
      <c r="A9" s="13" t="n">
        <v>4</v>
      </c>
      <c r="B9" s="14" t="s">
        <v>44</v>
      </c>
      <c r="C9" s="14" t="s">
        <v>56</v>
      </c>
      <c r="D9" s="13" t="s">
        <v>46</v>
      </c>
      <c r="E9" s="13" t="s">
        <v>3</v>
      </c>
      <c r="F9" s="13" t="s">
        <v>47</v>
      </c>
      <c r="G9" s="14" t="s">
        <v>48</v>
      </c>
      <c r="H9" s="14" t="s">
        <v>57</v>
      </c>
      <c r="I9" s="13" t="s">
        <v>40</v>
      </c>
      <c r="J9" s="13" t="s">
        <v>50</v>
      </c>
      <c r="K9" s="15" t="s">
        <v>42</v>
      </c>
      <c r="L9" s="14"/>
    </row>
    <row r="10" customFormat="false" ht="46.25" hidden="false" customHeight="false" outlineLevel="0" collapsed="false">
      <c r="A10" s="13" t="n">
        <v>5</v>
      </c>
      <c r="B10" s="14" t="s">
        <v>44</v>
      </c>
      <c r="C10" s="14" t="s">
        <v>58</v>
      </c>
      <c r="D10" s="13" t="s">
        <v>46</v>
      </c>
      <c r="E10" s="13" t="s">
        <v>3</v>
      </c>
      <c r="F10" s="13" t="s">
        <v>47</v>
      </c>
      <c r="G10" s="14" t="s">
        <v>48</v>
      </c>
      <c r="H10" s="14" t="s">
        <v>59</v>
      </c>
      <c r="I10" s="13" t="s">
        <v>40</v>
      </c>
      <c r="J10" s="13" t="s">
        <v>41</v>
      </c>
      <c r="K10" s="15" t="s">
        <v>42</v>
      </c>
      <c r="L10" s="14"/>
    </row>
    <row r="11" customFormat="false" ht="15" hidden="false" customHeight="false" outlineLevel="0" collapsed="false">
      <c r="A11" s="11" t="s">
        <v>60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customFormat="false" ht="23.85" hidden="false" customHeight="false" outlineLevel="0" collapsed="false">
      <c r="A12" s="13" t="n">
        <v>6</v>
      </c>
      <c r="B12" s="14" t="s">
        <v>61</v>
      </c>
      <c r="C12" s="14" t="s">
        <v>62</v>
      </c>
      <c r="D12" s="13" t="s">
        <v>63</v>
      </c>
      <c r="E12" s="13" t="s">
        <v>3</v>
      </c>
      <c r="F12" s="13" t="s">
        <v>64</v>
      </c>
      <c r="G12" s="14" t="s">
        <v>65</v>
      </c>
      <c r="H12" s="14" t="s">
        <v>66</v>
      </c>
      <c r="I12" s="13" t="s">
        <v>67</v>
      </c>
      <c r="J12" s="13" t="s">
        <v>41</v>
      </c>
      <c r="K12" s="15" t="s">
        <v>42</v>
      </c>
      <c r="L12" s="14"/>
    </row>
  </sheetData>
  <autoFilter ref="A4:L12"/>
  <conditionalFormatting sqref="E5:E12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2" r:id="rId6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68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46.25" hidden="false" customHeight="false" outlineLevel="0" collapsed="false">
      <c r="A6" s="13" t="n">
        <v>1</v>
      </c>
      <c r="B6" s="14" t="s">
        <v>69</v>
      </c>
      <c r="C6" s="14" t="s">
        <v>70</v>
      </c>
      <c r="D6" s="13" t="s">
        <v>71</v>
      </c>
      <c r="E6" s="13" t="s">
        <v>3</v>
      </c>
      <c r="F6" s="13" t="s">
        <v>72</v>
      </c>
      <c r="G6" s="14" t="s">
        <v>48</v>
      </c>
      <c r="H6" s="14" t="s">
        <v>73</v>
      </c>
      <c r="I6" s="13" t="s">
        <v>74</v>
      </c>
      <c r="J6" s="13" t="s">
        <v>41</v>
      </c>
      <c r="K6" s="15" t="s">
        <v>42</v>
      </c>
      <c r="L6" s="14"/>
    </row>
    <row r="7" customFormat="false" ht="15" hidden="false" customHeight="false" outlineLevel="0" collapsed="false">
      <c r="A7" s="11" t="s">
        <v>60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customFormat="false" ht="46.25" hidden="false" customHeight="false" outlineLevel="0" collapsed="false">
      <c r="A8" s="13" t="n">
        <v>2</v>
      </c>
      <c r="B8" s="14" t="s">
        <v>75</v>
      </c>
      <c r="C8" s="14" t="s">
        <v>76</v>
      </c>
      <c r="D8" s="13" t="s">
        <v>77</v>
      </c>
      <c r="E8" s="13" t="s">
        <v>3</v>
      </c>
      <c r="F8" s="13" t="s">
        <v>78</v>
      </c>
      <c r="G8" s="14" t="s">
        <v>48</v>
      </c>
      <c r="H8" s="14" t="s">
        <v>79</v>
      </c>
      <c r="I8" s="13" t="s">
        <v>74</v>
      </c>
      <c r="J8" s="13" t="s">
        <v>50</v>
      </c>
      <c r="K8" s="15" t="s">
        <v>42</v>
      </c>
      <c r="L8" s="14"/>
    </row>
  </sheetData>
  <autoFilter ref="A4:L8"/>
  <conditionalFormatting sqref="E5:E8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8" r:id="rId2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80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35.05" hidden="false" customHeight="false" outlineLevel="0" collapsed="false">
      <c r="A6" s="13" t="n">
        <v>1</v>
      </c>
      <c r="B6" s="14" t="s">
        <v>81</v>
      </c>
      <c r="C6" s="14" t="s">
        <v>82</v>
      </c>
      <c r="D6" s="13" t="s">
        <v>83</v>
      </c>
      <c r="E6" s="13" t="s">
        <v>3</v>
      </c>
      <c r="F6" s="13" t="s">
        <v>84</v>
      </c>
      <c r="G6" s="14" t="s">
        <v>85</v>
      </c>
      <c r="H6" s="14" t="s">
        <v>86</v>
      </c>
      <c r="I6" s="13" t="s">
        <v>87</v>
      </c>
      <c r="J6" s="13" t="s">
        <v>50</v>
      </c>
      <c r="K6" s="15" t="s">
        <v>42</v>
      </c>
      <c r="L6" s="14" t="s">
        <v>88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89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46.25" hidden="false" customHeight="false" outlineLevel="0" collapsed="false">
      <c r="A6" s="13" t="n">
        <v>1</v>
      </c>
      <c r="B6" s="14" t="s">
        <v>44</v>
      </c>
      <c r="C6" s="14" t="s">
        <v>90</v>
      </c>
      <c r="D6" s="13" t="s">
        <v>46</v>
      </c>
      <c r="E6" s="13" t="s">
        <v>3</v>
      </c>
      <c r="F6" s="13" t="s">
        <v>47</v>
      </c>
      <c r="G6" s="14" t="s">
        <v>48</v>
      </c>
      <c r="H6" s="14" t="s">
        <v>91</v>
      </c>
      <c r="I6" s="13" t="s">
        <v>40</v>
      </c>
      <c r="J6" s="13" t="s">
        <v>41</v>
      </c>
      <c r="K6" s="15" t="s">
        <v>42</v>
      </c>
      <c r="L6" s="14"/>
    </row>
    <row r="7" customFormat="false" ht="23.85" hidden="false" customHeight="false" outlineLevel="0" collapsed="false">
      <c r="A7" s="13" t="n">
        <v>2</v>
      </c>
      <c r="B7" s="14" t="s">
        <v>81</v>
      </c>
      <c r="C7" s="14" t="s">
        <v>92</v>
      </c>
      <c r="D7" s="13" t="s">
        <v>93</v>
      </c>
      <c r="E7" s="13" t="s">
        <v>3</v>
      </c>
      <c r="F7" s="13" t="s">
        <v>78</v>
      </c>
      <c r="G7" s="14" t="s">
        <v>48</v>
      </c>
      <c r="H7" s="14" t="s">
        <v>94</v>
      </c>
      <c r="I7" s="13" t="s">
        <v>87</v>
      </c>
      <c r="J7" s="13" t="s">
        <v>50</v>
      </c>
      <c r="K7" s="15" t="s">
        <v>42</v>
      </c>
      <c r="L7" s="14" t="s">
        <v>88</v>
      </c>
    </row>
    <row r="8" customFormat="false" ht="15" hidden="false" customHeight="false" outlineLevel="0" collapsed="false">
      <c r="A8" s="11" t="s">
        <v>95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46.25" hidden="false" customHeight="false" outlineLevel="0" collapsed="false">
      <c r="A9" s="13" t="n">
        <v>3</v>
      </c>
      <c r="B9" s="14" t="s">
        <v>96</v>
      </c>
      <c r="C9" s="14" t="s">
        <v>97</v>
      </c>
      <c r="D9" s="13" t="s">
        <v>98</v>
      </c>
      <c r="E9" s="13" t="s">
        <v>3</v>
      </c>
      <c r="F9" s="13" t="s">
        <v>37</v>
      </c>
      <c r="G9" s="14" t="s">
        <v>99</v>
      </c>
      <c r="H9" s="14" t="s">
        <v>100</v>
      </c>
      <c r="I9" s="13" t="s">
        <v>101</v>
      </c>
      <c r="J9" s="13" t="s">
        <v>50</v>
      </c>
      <c r="K9" s="15" t="s">
        <v>42</v>
      </c>
      <c r="L9" s="14"/>
    </row>
    <row r="10" customFormat="false" ht="15" hidden="false" customHeight="false" outlineLevel="0" collapsed="false">
      <c r="A10" s="11" t="s">
        <v>60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customFormat="false" ht="57.45" hidden="false" customHeight="false" outlineLevel="0" collapsed="false">
      <c r="A11" s="13" t="n">
        <v>4</v>
      </c>
      <c r="B11" s="14" t="s">
        <v>102</v>
      </c>
      <c r="C11" s="14" t="s">
        <v>103</v>
      </c>
      <c r="D11" s="13" t="s">
        <v>104</v>
      </c>
      <c r="E11" s="13" t="s">
        <v>3</v>
      </c>
      <c r="F11" s="13" t="s">
        <v>47</v>
      </c>
      <c r="G11" s="14" t="s">
        <v>48</v>
      </c>
      <c r="H11" s="14" t="s">
        <v>105</v>
      </c>
      <c r="I11" s="13" t="s">
        <v>106</v>
      </c>
      <c r="J11" s="13" t="s">
        <v>50</v>
      </c>
      <c r="K11" s="15" t="s">
        <v>42</v>
      </c>
      <c r="L11" s="14"/>
    </row>
    <row r="12" customFormat="false" ht="57.45" hidden="false" customHeight="false" outlineLevel="0" collapsed="false">
      <c r="A12" s="13" t="n">
        <v>5</v>
      </c>
      <c r="B12" s="14" t="s">
        <v>107</v>
      </c>
      <c r="C12" s="14" t="s">
        <v>108</v>
      </c>
      <c r="D12" s="13" t="s">
        <v>109</v>
      </c>
      <c r="E12" s="13" t="s">
        <v>3</v>
      </c>
      <c r="F12" s="13" t="s">
        <v>110</v>
      </c>
      <c r="G12" s="14" t="s">
        <v>48</v>
      </c>
      <c r="H12" s="14" t="s">
        <v>111</v>
      </c>
      <c r="I12" s="13" t="s">
        <v>112</v>
      </c>
      <c r="J12" s="13" t="s">
        <v>41</v>
      </c>
      <c r="K12" s="15" t="s">
        <v>42</v>
      </c>
      <c r="L12" s="14" t="s">
        <v>113</v>
      </c>
    </row>
  </sheetData>
  <autoFilter ref="A4:L12"/>
  <conditionalFormatting sqref="E5:E12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9" r:id="rId3" display="Apply ↗"/>
    <hyperlink ref="K11" r:id="rId4" display="Apply ↗"/>
    <hyperlink ref="K12" r:id="rId5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114</v>
      </c>
    </row>
    <row r="2" customFormat="false" ht="15" hidden="false" customHeight="false" outlineLevel="0" collapsed="false">
      <c r="A2" s="10" t="s">
        <v>20</v>
      </c>
    </row>
    <row r="4" customFormat="false" ht="25.5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11" t="s">
        <v>33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customFormat="false" ht="15" hidden="false" customHeight="false" outlineLevel="0" collapsed="false">
      <c r="A6" s="13" t="n">
        <v>1</v>
      </c>
      <c r="B6" s="14" t="s">
        <v>115</v>
      </c>
      <c r="C6" s="14" t="s">
        <v>116</v>
      </c>
      <c r="D6" s="13" t="s">
        <v>117</v>
      </c>
      <c r="E6" s="13" t="s">
        <v>3</v>
      </c>
      <c r="F6" s="13" t="s">
        <v>47</v>
      </c>
      <c r="G6" s="14" t="s">
        <v>118</v>
      </c>
      <c r="H6" s="14" t="s">
        <v>119</v>
      </c>
      <c r="I6" s="13" t="s">
        <v>101</v>
      </c>
      <c r="J6" s="13" t="s">
        <v>41</v>
      </c>
      <c r="K6" s="15" t="s">
        <v>42</v>
      </c>
      <c r="L6" s="14"/>
    </row>
    <row r="7" customFormat="false" ht="46.25" hidden="false" customHeight="false" outlineLevel="0" collapsed="false">
      <c r="A7" s="13" t="n">
        <v>2</v>
      </c>
      <c r="B7" s="14" t="s">
        <v>81</v>
      </c>
      <c r="C7" s="14" t="s">
        <v>120</v>
      </c>
      <c r="D7" s="13" t="s">
        <v>83</v>
      </c>
      <c r="E7" s="13" t="s">
        <v>3</v>
      </c>
      <c r="F7" s="13" t="s">
        <v>121</v>
      </c>
      <c r="G7" s="14" t="s">
        <v>122</v>
      </c>
      <c r="H7" s="14" t="s">
        <v>123</v>
      </c>
      <c r="I7" s="13" t="s">
        <v>87</v>
      </c>
      <c r="J7" s="13" t="s">
        <v>50</v>
      </c>
      <c r="K7" s="15" t="s">
        <v>42</v>
      </c>
      <c r="L7" s="14" t="s">
        <v>88</v>
      </c>
    </row>
    <row r="8" customFormat="false" ht="46.25" hidden="false" customHeight="false" outlineLevel="0" collapsed="false">
      <c r="A8" s="13" t="n">
        <v>3</v>
      </c>
      <c r="B8" s="14" t="s">
        <v>44</v>
      </c>
      <c r="C8" s="14" t="s">
        <v>124</v>
      </c>
      <c r="D8" s="13" t="s">
        <v>36</v>
      </c>
      <c r="E8" s="13" t="s">
        <v>3</v>
      </c>
      <c r="F8" s="13" t="s">
        <v>125</v>
      </c>
      <c r="G8" s="14" t="s">
        <v>38</v>
      </c>
      <c r="H8" s="14" t="s">
        <v>126</v>
      </c>
      <c r="I8" s="13" t="s">
        <v>40</v>
      </c>
      <c r="J8" s="13" t="s">
        <v>50</v>
      </c>
      <c r="K8" s="15" t="s">
        <v>42</v>
      </c>
      <c r="L8" s="14"/>
    </row>
    <row r="9" customFormat="false" ht="23.85" hidden="false" customHeight="false" outlineLevel="0" collapsed="false">
      <c r="A9" s="13" t="n">
        <v>4</v>
      </c>
      <c r="B9" s="14" t="s">
        <v>127</v>
      </c>
      <c r="C9" s="14" t="s">
        <v>128</v>
      </c>
      <c r="D9" s="13" t="s">
        <v>36</v>
      </c>
      <c r="E9" s="13" t="s">
        <v>3</v>
      </c>
      <c r="F9" s="13" t="s">
        <v>129</v>
      </c>
      <c r="G9" s="14" t="s">
        <v>130</v>
      </c>
      <c r="H9" s="14" t="s">
        <v>131</v>
      </c>
      <c r="I9" s="13" t="s">
        <v>40</v>
      </c>
      <c r="J9" s="13" t="s">
        <v>41</v>
      </c>
      <c r="K9" s="15" t="s">
        <v>42</v>
      </c>
      <c r="L9" s="14"/>
    </row>
    <row r="10" customFormat="false" ht="46.25" hidden="false" customHeight="false" outlineLevel="0" collapsed="false">
      <c r="A10" s="13" t="n">
        <v>5</v>
      </c>
      <c r="B10" s="14" t="s">
        <v>132</v>
      </c>
      <c r="C10" s="14" t="s">
        <v>133</v>
      </c>
      <c r="D10" s="13" t="s">
        <v>134</v>
      </c>
      <c r="E10" s="13" t="s">
        <v>3</v>
      </c>
      <c r="F10" s="13" t="s">
        <v>135</v>
      </c>
      <c r="G10" s="14" t="s">
        <v>48</v>
      </c>
      <c r="H10" s="14" t="s">
        <v>136</v>
      </c>
      <c r="I10" s="13" t="s">
        <v>112</v>
      </c>
      <c r="J10" s="13" t="s">
        <v>41</v>
      </c>
      <c r="K10" s="15" t="s">
        <v>42</v>
      </c>
      <c r="L10" s="14"/>
    </row>
    <row r="11" customFormat="false" ht="35.05" hidden="false" customHeight="false" outlineLevel="0" collapsed="false">
      <c r="A11" s="13" t="n">
        <v>6</v>
      </c>
      <c r="B11" s="14" t="s">
        <v>137</v>
      </c>
      <c r="C11" s="14" t="s">
        <v>138</v>
      </c>
      <c r="D11" s="13" t="s">
        <v>139</v>
      </c>
      <c r="E11" s="13" t="s">
        <v>3</v>
      </c>
      <c r="F11" s="13" t="s">
        <v>129</v>
      </c>
      <c r="G11" s="14" t="s">
        <v>48</v>
      </c>
      <c r="H11" s="14" t="s">
        <v>140</v>
      </c>
      <c r="I11" s="13" t="s">
        <v>74</v>
      </c>
      <c r="J11" s="13" t="s">
        <v>50</v>
      </c>
      <c r="K11" s="15" t="s">
        <v>42</v>
      </c>
      <c r="L11" s="14"/>
    </row>
    <row r="12" customFormat="false" ht="15" hidden="false" customHeight="false" outlineLevel="0" collapsed="false">
      <c r="A12" s="11" t="s">
        <v>95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customFormat="false" ht="23.85" hidden="false" customHeight="false" outlineLevel="0" collapsed="false">
      <c r="A13" s="13" t="n">
        <v>7</v>
      </c>
      <c r="B13" s="14" t="s">
        <v>141</v>
      </c>
      <c r="C13" s="14" t="s">
        <v>142</v>
      </c>
      <c r="D13" s="13" t="s">
        <v>143</v>
      </c>
      <c r="E13" s="13" t="s">
        <v>3</v>
      </c>
      <c r="F13" s="13" t="s">
        <v>64</v>
      </c>
      <c r="G13" s="14" t="s">
        <v>65</v>
      </c>
      <c r="H13" s="14" t="s">
        <v>144</v>
      </c>
      <c r="I13" s="13" t="s">
        <v>106</v>
      </c>
      <c r="J13" s="13" t="s">
        <v>50</v>
      </c>
      <c r="K13" s="15" t="s">
        <v>42</v>
      </c>
      <c r="L13" s="14"/>
    </row>
    <row r="14" customFormat="false" ht="15" hidden="false" customHeight="false" outlineLevel="0" collapsed="false">
      <c r="A14" s="11" t="s">
        <v>60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customFormat="false" ht="35.05" hidden="false" customHeight="false" outlineLevel="0" collapsed="false">
      <c r="A15" s="13" t="n">
        <v>8</v>
      </c>
      <c r="B15" s="14" t="s">
        <v>145</v>
      </c>
      <c r="C15" s="14" t="s">
        <v>146</v>
      </c>
      <c r="D15" s="13" t="s">
        <v>147</v>
      </c>
      <c r="E15" s="13" t="s">
        <v>3</v>
      </c>
      <c r="F15" s="13" t="s">
        <v>47</v>
      </c>
      <c r="G15" s="14" t="s">
        <v>48</v>
      </c>
      <c r="H15" s="14" t="s">
        <v>148</v>
      </c>
      <c r="I15" s="13" t="s">
        <v>106</v>
      </c>
      <c r="J15" s="13" t="s">
        <v>41</v>
      </c>
      <c r="K15" s="15" t="s">
        <v>42</v>
      </c>
      <c r="L15" s="14"/>
    </row>
    <row r="16" customFormat="false" ht="57.45" hidden="false" customHeight="false" outlineLevel="0" collapsed="false">
      <c r="A16" s="13" t="n">
        <v>9</v>
      </c>
      <c r="B16" s="14" t="s">
        <v>145</v>
      </c>
      <c r="C16" s="14" t="s">
        <v>149</v>
      </c>
      <c r="D16" s="13" t="s">
        <v>147</v>
      </c>
      <c r="E16" s="13" t="s">
        <v>3</v>
      </c>
      <c r="F16" s="13" t="s">
        <v>47</v>
      </c>
      <c r="G16" s="14" t="s">
        <v>48</v>
      </c>
      <c r="H16" s="14" t="s">
        <v>150</v>
      </c>
      <c r="I16" s="13" t="s">
        <v>106</v>
      </c>
      <c r="J16" s="13" t="s">
        <v>41</v>
      </c>
      <c r="K16" s="15" t="s">
        <v>42</v>
      </c>
      <c r="L16" s="14"/>
    </row>
  </sheetData>
  <autoFilter ref="A4:L16"/>
  <conditionalFormatting sqref="E5:E1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9" r:id="rId4" display="Apply ↗"/>
    <hyperlink ref="K10" r:id="rId5" display="Apply ↗"/>
    <hyperlink ref="K11" r:id="rId6" display="Apply ↗"/>
    <hyperlink ref="K13" r:id="rId7" display="Apply ↗"/>
    <hyperlink ref="K15" r:id="rId8" display="Apply ↗"/>
    <hyperlink ref="K16" r:id="rId9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9" t="s">
        <v>151</v>
      </c>
    </row>
    <row r="2" customFormat="false" ht="15" hidden="false" customHeight="false" outlineLevel="0" collapsed="false">
      <c r="A2" s="10" t="s">
        <v>152</v>
      </c>
    </row>
    <row r="4" customFormat="false" ht="25.5" hidden="false" customHeight="true" outlineLevel="0" collapsed="false">
      <c r="A4" s="3" t="s">
        <v>21</v>
      </c>
      <c r="B4" s="3" t="s">
        <v>153</v>
      </c>
      <c r="C4" s="3" t="s">
        <v>23</v>
      </c>
      <c r="D4" s="3" t="s">
        <v>27</v>
      </c>
      <c r="E4" s="3" t="s">
        <v>154</v>
      </c>
      <c r="F4" s="3" t="s">
        <v>30</v>
      </c>
      <c r="G4" s="3" t="s">
        <v>155</v>
      </c>
      <c r="H4" s="3" t="s">
        <v>32</v>
      </c>
    </row>
    <row r="5" customFormat="false" ht="15" hidden="false" customHeight="false" outlineLevel="0" collapsed="false">
      <c r="A5" s="11" t="s">
        <v>156</v>
      </c>
      <c r="B5" s="12"/>
      <c r="C5" s="12"/>
      <c r="D5" s="12"/>
      <c r="E5" s="12"/>
      <c r="F5" s="12"/>
      <c r="G5" s="12"/>
      <c r="H5" s="12"/>
    </row>
    <row r="6" customFormat="false" ht="23.85" hidden="false" customHeight="false" outlineLevel="0" collapsed="false">
      <c r="A6" s="13" t="n">
        <v>1</v>
      </c>
      <c r="B6" s="13" t="s">
        <v>157</v>
      </c>
      <c r="C6" s="14" t="s">
        <v>158</v>
      </c>
      <c r="D6" s="13" t="s">
        <v>159</v>
      </c>
      <c r="E6" s="13" t="s">
        <v>160</v>
      </c>
      <c r="F6" s="13" t="s">
        <v>161</v>
      </c>
      <c r="G6" s="15" t="s">
        <v>42</v>
      </c>
      <c r="H6" s="14" t="s">
        <v>162</v>
      </c>
    </row>
    <row r="7" customFormat="false" ht="15" hidden="false" customHeight="false" outlineLevel="0" collapsed="false">
      <c r="A7" s="13" t="n">
        <v>2</v>
      </c>
      <c r="B7" s="13" t="s">
        <v>157</v>
      </c>
      <c r="C7" s="14" t="s">
        <v>163</v>
      </c>
      <c r="D7" s="13" t="s">
        <v>159</v>
      </c>
      <c r="E7" s="13" t="s">
        <v>160</v>
      </c>
      <c r="F7" s="13" t="s">
        <v>161</v>
      </c>
      <c r="G7" s="15" t="s">
        <v>42</v>
      </c>
      <c r="H7" s="14" t="s">
        <v>164</v>
      </c>
    </row>
  </sheetData>
  <autoFilter ref="A4:H7"/>
  <hyperlinks>
    <hyperlink ref="G6" r:id="rId1" display="Apply ↗"/>
    <hyperlink ref="G7" r:id="rId2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2026-10-31T09:56:17Z</dcterms:created>
  <dc:creator>openpyxl</dc:creator>
  <dc:description/>
  <dc:language>en-US</dc:language>
  <cp:lastModifiedBy/>
  <dcterms:modified xsi:type="dcterms:W3CDTF">2026-10-31T09:56:17Z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